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6380" windowHeight="8130" firstSheet="8" activeTab="10"/>
  </bookViews>
  <sheets>
    <sheet name="Indiabulls liquid fund" sheetId="1" r:id="rId1"/>
    <sheet name="Indiabulls Ultra Short TermFund" sheetId="2" r:id="rId2"/>
    <sheet name="Indiabulls Short Term Fund" sheetId="5" r:id="rId3"/>
    <sheet name="Indiabulls Income Fund" sheetId="11" r:id="rId4"/>
    <sheet name="Indiabulls Savings Income" sheetId="7" r:id="rId5"/>
    <sheet name="Indiabulls FMP  Series V " sheetId="9" r:id="rId6"/>
    <sheet name="Indiabulls Gilt Fund" sheetId="10" r:id="rId7"/>
    <sheet name="Indiabulls Arbitrage Fund" sheetId="4" r:id="rId8"/>
    <sheet name="Indiabulls Value Discovery Fund" sheetId="8" r:id="rId9"/>
    <sheet name="Indiabulls Blue Chip Fund" sheetId="3" r:id="rId10"/>
    <sheet name="Indiabulls Tax Savings Fund" sheetId="6" r:id="rId11"/>
  </sheets>
  <calcPr calcId="144525"/>
</workbook>
</file>

<file path=xl/calcChain.xml><?xml version="1.0" encoding="utf-8"?>
<calcChain xmlns="http://schemas.openxmlformats.org/spreadsheetml/2006/main">
  <c r="A31" i="3" l="1"/>
  <c r="F40" i="8"/>
  <c r="G40" i="8"/>
  <c r="G30" i="5"/>
  <c r="G25" i="5"/>
  <c r="G92" i="4"/>
  <c r="G39" i="3"/>
  <c r="G34" i="3"/>
  <c r="G32" i="2"/>
  <c r="F32" i="2"/>
  <c r="G52" i="1"/>
  <c r="F100" i="1"/>
  <c r="F97" i="1"/>
  <c r="F94" i="1"/>
  <c r="F85" i="1"/>
  <c r="F79" i="1"/>
  <c r="F52" i="1"/>
  <c r="G8" i="11"/>
  <c r="F8" i="11"/>
  <c r="G94" i="1"/>
  <c r="F17" i="9"/>
  <c r="F18" i="7"/>
  <c r="F25" i="5"/>
</calcChain>
</file>

<file path=xl/sharedStrings.xml><?xml version="1.0" encoding="utf-8"?>
<sst xmlns="http://schemas.openxmlformats.org/spreadsheetml/2006/main" count="1529" uniqueCount="526">
  <si>
    <t xml:space="preserve"> 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</si>
  <si>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</si>
  <si>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</si>
  <si>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</si>
  <si>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</si>
  <si>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</si>
  <si>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>Portfolio as on 30-Apr-2018</t>
  </si>
  <si>
    <t>ISIN</t>
  </si>
  <si>
    <t>Name Of Instrument</t>
  </si>
  <si>
    <t>Rating/Industry</t>
  </si>
  <si>
    <t>Quantity</t>
  </si>
  <si>
    <t>% To Net Assets</t>
  </si>
  <si>
    <t>CP - COMMERCIAL PAPERS</t>
  </si>
  <si>
    <t>INE891K14FN8</t>
  </si>
  <si>
    <t>AXIS FINANCE LTD</t>
  </si>
  <si>
    <t>INE031A14309</t>
  </si>
  <si>
    <t>HOUSING AND URBAN DEVELOPMENT CORPORATION LTD</t>
  </si>
  <si>
    <t>INE692Q14874</t>
  </si>
  <si>
    <t>TOYOTA FINANCIAL SERVICES INDIA LTD</t>
  </si>
  <si>
    <t>INE247J14583</t>
  </si>
  <si>
    <t>STERLING AND WILSON PVT LTD</t>
  </si>
  <si>
    <t>INE477S14389</t>
  </si>
  <si>
    <t>INE289B14DB4</t>
  </si>
  <si>
    <t>GIC HOUSING FINANCE LTD</t>
  </si>
  <si>
    <t>INE860H14D04</t>
  </si>
  <si>
    <t>ADITYA BIRLA FINANCE LTD</t>
  </si>
  <si>
    <t>INE002A14920</t>
  </si>
  <si>
    <t>RELIANCE INDUSTRIES LIMITED</t>
  </si>
  <si>
    <t>INE514E14ND4</t>
  </si>
  <si>
    <t>EXIM BANK</t>
  </si>
  <si>
    <t>INE018E14LG3</t>
  </si>
  <si>
    <t>SBI CARDS AND PAYMENT LTD</t>
  </si>
  <si>
    <t>INE912E14IB4</t>
  </si>
  <si>
    <t>SBI GLOBAL FACTOR LIMITED</t>
  </si>
  <si>
    <t>INE539K14771</t>
  </si>
  <si>
    <t>HDFC CREDILA FINANCIAL SERVICES PVT LTD</t>
  </si>
  <si>
    <t>INE674K14131</t>
  </si>
  <si>
    <t>ADITYA BIRLA CAPITAL LIMITED</t>
  </si>
  <si>
    <t>INE404K14DP0</t>
  </si>
  <si>
    <t>SHAPOORJI PALLONJI &amp; COMPANY LTD.</t>
  </si>
  <si>
    <t>INE404K14DO3</t>
  </si>
  <si>
    <t>INE860H14C05</t>
  </si>
  <si>
    <t>INE870H14EQ4</t>
  </si>
  <si>
    <t>NETWORK 18 MEDIA &amp; INVESTMENTS LTD</t>
  </si>
  <si>
    <t>INE566V14078</t>
  </si>
  <si>
    <t>NISSAN RENAULT FINANCIAL SERVICES INDIA PVT LTD</t>
  </si>
  <si>
    <t>INE404K14DN5</t>
  </si>
  <si>
    <t>INE538L14AE3</t>
  </si>
  <si>
    <t>AADHAR HOUSING FINANCE LIMITED</t>
  </si>
  <si>
    <t>INE134E14873</t>
  </si>
  <si>
    <t>POWER FINANCE CORPORATION LIMITED</t>
  </si>
  <si>
    <t>CRISIL A1+</t>
  </si>
  <si>
    <t>INE247J14591</t>
  </si>
  <si>
    <t>INE001A14RR1</t>
  </si>
  <si>
    <t>HOUSING DEVELOPMENT FINANCE CORPORATION LIMITED</t>
  </si>
  <si>
    <t>INE476M14AJ3</t>
  </si>
  <si>
    <t>L &amp; T HOUSING FINANCE LTD</t>
  </si>
  <si>
    <t>INE909H14LW3</t>
  </si>
  <si>
    <t>TMF HOLDINGS LTD</t>
  </si>
  <si>
    <t>ICRA A1+</t>
  </si>
  <si>
    <t>INE261F14CP6</t>
  </si>
  <si>
    <t>NABARD</t>
  </si>
  <si>
    <t>INE556F14GA2</t>
  </si>
  <si>
    <t>SMALL INDUSTRIES DEVELOPMENT BANK OF INDIA</t>
  </si>
  <si>
    <t>INE538L14AG8</t>
  </si>
  <si>
    <t>INE202B14MH5</t>
  </si>
  <si>
    <t>DEWAN HOUSING FINANCE CORP. LTD</t>
  </si>
  <si>
    <t>INE202B14KF3</t>
  </si>
  <si>
    <t>INE001A14RX9</t>
  </si>
  <si>
    <t>INE912E14IH1</t>
  </si>
  <si>
    <t>INE261F14CU6</t>
  </si>
  <si>
    <t>INE202B14MJ1</t>
  </si>
  <si>
    <t>INE335A14CK0</t>
  </si>
  <si>
    <t>SURYA ROSHNI LTD</t>
  </si>
  <si>
    <t>INE087P14432</t>
  </si>
  <si>
    <t>AVANSE FIN SER LTD</t>
  </si>
  <si>
    <t>INE087P14382</t>
  </si>
  <si>
    <t>INE508G14436</t>
  </si>
  <si>
    <t>TIME TECHNOPLAST</t>
  </si>
  <si>
    <t>INE335A14CL8</t>
  </si>
  <si>
    <t>INE518A14602</t>
  </si>
  <si>
    <t>FORBES AND COMPANY LTD</t>
  </si>
  <si>
    <t>INE518A14610</t>
  </si>
  <si>
    <t>INE518A14628</t>
  </si>
  <si>
    <t>INE520H14033</t>
  </si>
  <si>
    <t>BEARDSELL LTD.</t>
  </si>
  <si>
    <t>INE514E14NB8</t>
  </si>
  <si>
    <t>INE110L14GL3</t>
  </si>
  <si>
    <t>RELIANCE JIO INFOCOMM LTD</t>
  </si>
  <si>
    <t>INE031A14317</t>
  </si>
  <si>
    <t>Total</t>
  </si>
  <si>
    <t>COD - CERTIFICATES OF DEPOSIT</t>
  </si>
  <si>
    <t>INE040A16BO5</t>
  </si>
  <si>
    <t>HDFC BANK LTD</t>
  </si>
  <si>
    <t>CARE A1+</t>
  </si>
  <si>
    <t>INE040A16CB0</t>
  </si>
  <si>
    <t>INE614B16636</t>
  </si>
  <si>
    <t>THE KARNATAKA BANK LTD</t>
  </si>
  <si>
    <t>INE092T16EH4</t>
  </si>
  <si>
    <t>IDFC BANK LTD</t>
  </si>
  <si>
    <t>INE705A16QA0</t>
  </si>
  <si>
    <t>VIJAYA BANK</t>
  </si>
  <si>
    <t>INE090A160O6</t>
  </si>
  <si>
    <t>ICICI BANK LIMITED</t>
  </si>
  <si>
    <t>INE092T16DN4</t>
  </si>
  <si>
    <t>INE238A16U78</t>
  </si>
  <si>
    <t>AXIS BANK LIMITED</t>
  </si>
  <si>
    <t>INE090A161P1</t>
  </si>
  <si>
    <t>INE683A16KM7</t>
  </si>
  <si>
    <t>THE SOUTH INDIAN BANK LTD</t>
  </si>
  <si>
    <t>INE238A16Y41</t>
  </si>
  <si>
    <t>INE090A165P2</t>
  </si>
  <si>
    <t>INE237A16Z66</t>
  </si>
  <si>
    <t>KOTAK MAHINDRA BANK LTD</t>
  </si>
  <si>
    <t>INE095A16XK1</t>
  </si>
  <si>
    <t>INDUSIND BANK LTD</t>
  </si>
  <si>
    <t>INE556F16234</t>
  </si>
  <si>
    <t>INE238A16W27</t>
  </si>
  <si>
    <t>INE683A16KL9</t>
  </si>
  <si>
    <t>INE683A16KN5</t>
  </si>
  <si>
    <t>INE090A162M6</t>
  </si>
  <si>
    <t>ICICI BANK LTD</t>
  </si>
  <si>
    <t>INE705A16QE2</t>
  </si>
  <si>
    <t>INE683A16KK1</t>
  </si>
  <si>
    <t>INE092T16DA1</t>
  </si>
  <si>
    <t>INE095A16XE4</t>
  </si>
  <si>
    <t>INE528G16M89</t>
  </si>
  <si>
    <t>YES BANK LTD</t>
  </si>
  <si>
    <t>INE692A16EW0</t>
  </si>
  <si>
    <t>UNION BANK OF INDIA</t>
  </si>
  <si>
    <t>TBL - TREASURY BILLS</t>
  </si>
  <si>
    <t>IN002018X047</t>
  </si>
  <si>
    <t xml:space="preserve">91 DAYS TREASURY BILL 26-JUL-2018  </t>
  </si>
  <si>
    <t>IN002017Z036</t>
  </si>
  <si>
    <t xml:space="preserve">364 DAYS TREASURY BILL 10-MAY-2018  </t>
  </si>
  <si>
    <t>IN002017Y229</t>
  </si>
  <si>
    <t xml:space="preserve">182 DAY TREASURY BILL  31-MAY-2018  </t>
  </si>
  <si>
    <t>IN002017X544</t>
  </si>
  <si>
    <t xml:space="preserve">91 DAYS TREASURY BILL 07-JUN-2018  </t>
  </si>
  <si>
    <t>NCD - NON CONVERTIBLE DEBENTURES</t>
  </si>
  <si>
    <t>INE202B07GR0</t>
  </si>
  <si>
    <t>INE296A07914</t>
  </si>
  <si>
    <t>BAJAJ FINANCE LIMITED</t>
  </si>
  <si>
    <t>INE916DA7LC7</t>
  </si>
  <si>
    <t>KOTAK MAHINDRA PRIME LIMITED</t>
  </si>
  <si>
    <t>INE001A07LN7</t>
  </si>
  <si>
    <t>CRISIL AAA</t>
  </si>
  <si>
    <t>INE031A09FI2</t>
  </si>
  <si>
    <t>INE660A07JS3</t>
  </si>
  <si>
    <t>SUNDARAM FINANCE LIMITED</t>
  </si>
  <si>
    <t>INE115A07DZ6</t>
  </si>
  <si>
    <t>LIC HOUSING FINANCE LIMITED</t>
  </si>
  <si>
    <t>FD - FIXED DEPOSITS</t>
  </si>
  <si>
    <t>INPYFDHDBB39</t>
  </si>
  <si>
    <t/>
  </si>
  <si>
    <t>Cash &amp; Cash Equivalents</t>
  </si>
  <si>
    <t>Net Receivable/Payable</t>
  </si>
  <si>
    <t>Grand Total</t>
  </si>
  <si>
    <t>INE404K14DH7</t>
  </si>
  <si>
    <t>SHAPOORJI PALLONJI &amp; CO. PVT LTD</t>
  </si>
  <si>
    <t>INE261F14CM3</t>
  </si>
  <si>
    <t>INE018E14JU8</t>
  </si>
  <si>
    <t>INE508G14394</t>
  </si>
  <si>
    <t>INE423A14GV2</t>
  </si>
  <si>
    <t>ADANI ENTERPRISES LTD</t>
  </si>
  <si>
    <t>INE508G14410</t>
  </si>
  <si>
    <t>INE508G14428</t>
  </si>
  <si>
    <t>INE860H14C21</t>
  </si>
  <si>
    <t>INE514E16AZ9</t>
  </si>
  <si>
    <t>INE090A167M5</t>
  </si>
  <si>
    <t>INE238A16Z24</t>
  </si>
  <si>
    <t>INE296A07GI3</t>
  </si>
  <si>
    <t>INE053T07018</t>
  </si>
  <si>
    <t>ONGC MANGALORE PETROCHEMICALS LIMITED</t>
  </si>
  <si>
    <t>INE347G08019</t>
  </si>
  <si>
    <t>PETRONET LNG LIMITED</t>
  </si>
  <si>
    <t>INE053T07026</t>
  </si>
  <si>
    <t>INE657I07027</t>
  </si>
  <si>
    <t>RELIANCE GAS TRANSPORTATION INFRASTRUCTURE LTD</t>
  </si>
  <si>
    <t>INE202B07AK8</t>
  </si>
  <si>
    <t>CARE AAA</t>
  </si>
  <si>
    <t>INE898G07187</t>
  </si>
  <si>
    <t>NORTH KARNATAKA EXPRESSWAY</t>
  </si>
  <si>
    <t>BOND - BONDS</t>
  </si>
  <si>
    <t>INE134E08BE6</t>
  </si>
  <si>
    <t>CB - COLLATERALIZED BORROWING AND LENDIN</t>
  </si>
  <si>
    <t xml:space="preserve">CBLO 02/05/18- MAT - 020518  </t>
  </si>
  <si>
    <t>Indiabulls Blue Chip Fund</t>
  </si>
  <si>
    <t>EQU - EQUITY SHARES</t>
  </si>
  <si>
    <t>INE040A01026</t>
  </si>
  <si>
    <t>BANKS</t>
  </si>
  <si>
    <t>INE018A01030</t>
  </si>
  <si>
    <t>LARSEN &amp; TOUBRO LIMITED</t>
  </si>
  <si>
    <t>CONSTRUCTION PROJECT</t>
  </si>
  <si>
    <t>INE467B01029</t>
  </si>
  <si>
    <t>TATA CONSULTANCY SERVICES LTD</t>
  </si>
  <si>
    <t>SOFTWARE</t>
  </si>
  <si>
    <t>INE001A01036</t>
  </si>
  <si>
    <t>FINANCE</t>
  </si>
  <si>
    <t>INE101A01026</t>
  </si>
  <si>
    <t>MAHINDRA &amp; MAHINDRA LTD</t>
  </si>
  <si>
    <t>AUTO</t>
  </si>
  <si>
    <t>INE002A01018</t>
  </si>
  <si>
    <t>PETROLEUM PRODUCTS</t>
  </si>
  <si>
    <t>INE384C01016</t>
  </si>
  <si>
    <t>YUKEN INDIA LTD</t>
  </si>
  <si>
    <t>AUTO ANCILLARIES</t>
  </si>
  <si>
    <t>INE205A01025</t>
  </si>
  <si>
    <t>VEDANTA LTD</t>
  </si>
  <si>
    <t>NON - FERROUS METALS</t>
  </si>
  <si>
    <t>INE347G01014</t>
  </si>
  <si>
    <t>GAS</t>
  </si>
  <si>
    <t>INE216A01022</t>
  </si>
  <si>
    <t>BRITANNIA INDUSTRIES LIMITED</t>
  </si>
  <si>
    <t>CONSUMER NON DURABLES</t>
  </si>
  <si>
    <t>INE585B01010</t>
  </si>
  <si>
    <t>MARUTI SUZUKI INDIA LIMITED</t>
  </si>
  <si>
    <t>INE158A01026</t>
  </si>
  <si>
    <t>HERO MOTOCORP LTD</t>
  </si>
  <si>
    <t>INE237A01028</t>
  </si>
  <si>
    <t>INE129A01019</t>
  </si>
  <si>
    <t>GAIL (INDIA) LIMITED</t>
  </si>
  <si>
    <t>INE030A01027</t>
  </si>
  <si>
    <t>HINDUSTAN UNILEVER LIMITED</t>
  </si>
  <si>
    <t>INE239A01016</t>
  </si>
  <si>
    <t>NESTLE INDIA LIMITED</t>
  </si>
  <si>
    <t>INE860A01027</t>
  </si>
  <si>
    <t>HCL TECHNOLOGIES LTD.</t>
  </si>
  <si>
    <t>INE263A01024</t>
  </si>
  <si>
    <t>BHARAT ELECTRONICS LIMITED</t>
  </si>
  <si>
    <t>INDUSTRIAL CAPITAL GOODS</t>
  </si>
  <si>
    <t>INE012A01025</t>
  </si>
  <si>
    <t>ACC LTD</t>
  </si>
  <si>
    <t>CEMENT</t>
  </si>
  <si>
    <t>INE481G01011</t>
  </si>
  <si>
    <t>ULTRATECH CEMENT LTD</t>
  </si>
  <si>
    <t>INE868B01028</t>
  </si>
  <si>
    <t>NCC LTD (Ex-NAGARJUNA CONSTRN CO. LTD)</t>
  </si>
  <si>
    <t>INE634I01029</t>
  </si>
  <si>
    <t>KNR CONSTRUCTIONS LTD</t>
  </si>
  <si>
    <t>CONSTRUCTION</t>
  </si>
  <si>
    <t>INE226A01021</t>
  </si>
  <si>
    <t>VOLTAS LTD</t>
  </si>
  <si>
    <t>INE192R01011</t>
  </si>
  <si>
    <t>AVENUE SUPERMARTS LTD</t>
  </si>
  <si>
    <t>RETAILING</t>
  </si>
  <si>
    <t>INE018I01017</t>
  </si>
  <si>
    <t>MINDTREE LTD</t>
  </si>
  <si>
    <t>INE361B01024</t>
  </si>
  <si>
    <t>PHARMACEUTICALS</t>
  </si>
  <si>
    <t>INE531A01024</t>
  </si>
  <si>
    <t>KANSAI NEROLAC PAINTS LIMITED</t>
  </si>
  <si>
    <t>INE095N01031</t>
  </si>
  <si>
    <t>NBCC (INDIA) LIMITED</t>
  </si>
  <si>
    <t>DERIVATIVES</t>
  </si>
  <si>
    <t>MARUTI SUZUKI INDIA Ltd MAY       2018 FUTURE</t>
  </si>
  <si>
    <t xml:space="preserve">             </t>
  </si>
  <si>
    <t>ICICI PRUDENTIAL LIFE INSURANCE COMPANY LIMITED MAY       2018 FUTURE</t>
  </si>
  <si>
    <t>HINDUSTAN ZINC LTD. MAY       2018 FUTURE</t>
  </si>
  <si>
    <t>Indiabulls Arbitrage Fund</t>
  </si>
  <si>
    <t>INE044A01036</t>
  </si>
  <si>
    <t>SUN PHARMACEUTICALS INDUSTRIES LTD</t>
  </si>
  <si>
    <t>INE202B01012</t>
  </si>
  <si>
    <t>INE062A01020</t>
  </si>
  <si>
    <t>STATE BANK OF INDIA</t>
  </si>
  <si>
    <t>INE397D01024</t>
  </si>
  <si>
    <t>BHARTI AIRTEL LTD</t>
  </si>
  <si>
    <t>TELECOM - SERVICES</t>
  </si>
  <si>
    <t>INE854D01016</t>
  </si>
  <si>
    <t>UNITED SPIRITS LTD</t>
  </si>
  <si>
    <t>INE498L01015</t>
  </si>
  <si>
    <t>L &amp; T FINANCE HOLDINGS LTD</t>
  </si>
  <si>
    <t>INE055A01016</t>
  </si>
  <si>
    <t>CENTURY TEXTILES &amp; INDUSTRIES LTD</t>
  </si>
  <si>
    <t>INE802G01018</t>
  </si>
  <si>
    <t>JET AIRWAYS (INDIA) LIMITED</t>
  </si>
  <si>
    <t>TRANSPORTATION</t>
  </si>
  <si>
    <t>INE160A01022</t>
  </si>
  <si>
    <t>PUNJAB NATIONAL BANK</t>
  </si>
  <si>
    <t>INE483S01020</t>
  </si>
  <si>
    <t>INFIBEAM INCORPORATION LTD</t>
  </si>
  <si>
    <t>INE301A01014</t>
  </si>
  <si>
    <t>Raymond Ltd</t>
  </si>
  <si>
    <t>TEXTILE PRODUCTS</t>
  </si>
  <si>
    <t>INE043D01016</t>
  </si>
  <si>
    <t>IDFC LTD</t>
  </si>
  <si>
    <t>INE013A01015</t>
  </si>
  <si>
    <t>RELIANCE CAPITAL LTD</t>
  </si>
  <si>
    <t>INE139A01034</t>
  </si>
  <si>
    <t>National Aluminium Co. Ltd.</t>
  </si>
  <si>
    <t>INE271C01023</t>
  </si>
  <si>
    <t>DLF LTD</t>
  </si>
  <si>
    <t>INE019A01038</t>
  </si>
  <si>
    <t>JSW STEEL LIMITED</t>
  </si>
  <si>
    <t>FERROUS METALS</t>
  </si>
  <si>
    <t>INE034A01011</t>
  </si>
  <si>
    <t>ARVIND LIMITED</t>
  </si>
  <si>
    <t>INE424H01027</t>
  </si>
  <si>
    <t>SUN TV NETWORK LIMITED</t>
  </si>
  <si>
    <t>MEDIA &amp; ENTERTAINMENT</t>
  </si>
  <si>
    <t>INE692A01016</t>
  </si>
  <si>
    <t>INE242A01010</t>
  </si>
  <si>
    <t>INDIAN OIL CORPORATION LIMITED</t>
  </si>
  <si>
    <t>INE208A01029</t>
  </si>
  <si>
    <t>ASHOK LEYLAND LIMITED</t>
  </si>
  <si>
    <t>INE092A01019</t>
  </si>
  <si>
    <t>TATA CHEMICALS LTD</t>
  </si>
  <si>
    <t>CHEMICALS</t>
  </si>
  <si>
    <t>INE036A01016</t>
  </si>
  <si>
    <t>RELIANCE INFRASTRUCTURE LTD</t>
  </si>
  <si>
    <t>POWER</t>
  </si>
  <si>
    <t>INE079A01024</t>
  </si>
  <si>
    <t>INE886H01027</t>
  </si>
  <si>
    <t>INE039A01010</t>
  </si>
  <si>
    <t>INDUSTRIAL FINANCE CORPORATION LTD</t>
  </si>
  <si>
    <t>INE406A01037</t>
  </si>
  <si>
    <t>AUROBINDO PHARMA LIMITED</t>
  </si>
  <si>
    <t>INE326A01037</t>
  </si>
  <si>
    <t>LUPIN LTD</t>
  </si>
  <si>
    <t>IN9155A01020</t>
  </si>
  <si>
    <t>TATA MOTORS LIMITED -DVR</t>
  </si>
  <si>
    <t>INE256A01028</t>
  </si>
  <si>
    <t>ZEE ENTERTAINMENT ENTERPRISES LIMITED</t>
  </si>
  <si>
    <t>TD - TERM DEPOSITS</t>
  </si>
  <si>
    <t>INE652A09088</t>
  </si>
  <si>
    <t>STATE BANK OF PATIALA</t>
  </si>
  <si>
    <t>ZEE ENTERTAINMENT ENTERPRISES LIMITED MAY       2018 FUTURE</t>
  </si>
  <si>
    <t>TATA MOTORS LIMITED - DVR. MAY       2018 FUTURE</t>
  </si>
  <si>
    <t>GAIL (INDIA) LTD (EX GAS AUTHORITY OF INDIA LTD) MAY       2018 FUTURE</t>
  </si>
  <si>
    <t>LUPIN LTD MAY       2018 FUTURE</t>
  </si>
  <si>
    <t>AUROBINDO PHARMA LTD MAY       2018 FUTURE</t>
  </si>
  <si>
    <t>IFCI LIMITED MAY       2018 FUTURE</t>
  </si>
  <si>
    <t>TV18 BROADCAST LTD MAY       2018 FUTURE</t>
  </si>
  <si>
    <t>AMBUJA CEMENTS LTD - OLD NAME - GUJARAT AMBUJA MAY       2018 FUTURE</t>
  </si>
  <si>
    <t>RELIANCE INFRASTRUCTURE LTD ( x - Reliance Energy Ltd ) MAY       2018 FUTURE</t>
  </si>
  <si>
    <t>TATA CHEMICALS LTD MAY       2018 FUTURE</t>
  </si>
  <si>
    <t>ASHOK LEYLAND LTD MAY       2018 FUTURE</t>
  </si>
  <si>
    <t>VEDANTA LIMITED  ( EX-SESA STERLITE LIMITED -EX-SESA GOA LTD). MAY       2018 FUTURE</t>
  </si>
  <si>
    <t>INDIAN OIL CORPORATION LIMITED MAY       2018 FUTURE</t>
  </si>
  <si>
    <t>UNION BANK OF INDIA MAY       2018 FUTURE</t>
  </si>
  <si>
    <t>SUN TV NETWORK LIMITED MAY       2018 FUTURE</t>
  </si>
  <si>
    <t>ARVIND LTD MAY       2018 FUTURE</t>
  </si>
  <si>
    <t>JSW STEEL LIMITED MAY       2018 FUTURE</t>
  </si>
  <si>
    <t>DLF LTD MAY       2018 FUTURE</t>
  </si>
  <si>
    <t>NATIONAL ALUMINIUM CO.LTD. MAY       2018 FUTURE</t>
  </si>
  <si>
    <t>RELIANCE CAPITAL LTD. MAY       2018 FUTURE</t>
  </si>
  <si>
    <t>IDFC LTD MAY       2018 FUTURE</t>
  </si>
  <si>
    <t>RELIANCE INDUSTRIES LTD JUNE      2018 FUTURE</t>
  </si>
  <si>
    <t>RAYMOND LTD MAY       2018 FUTURE</t>
  </si>
  <si>
    <t>INFIBEAM INCORPORATION LTD MAY       2018 FUTURE</t>
  </si>
  <si>
    <t>PUNJAB NATIONAL BANK MAY       2018 FUTURE</t>
  </si>
  <si>
    <t>JET AIRWAYS (INDIA) LIMITED MAY       2018 FUTURE</t>
  </si>
  <si>
    <t>CENTURY TEXTILES &amp; INDUSTRIES LTD MAY       2018 FUTURE</t>
  </si>
  <si>
    <t>L&amp;T FINANCE HOLDINGS LIMITED MAY       2018 FUTURE</t>
  </si>
  <si>
    <t>UNITED SPIRITS LTD. MAY       2018 FUTURE</t>
  </si>
  <si>
    <t>BHARTI AIRTEL LTD MAY       2018 FUTURE</t>
  </si>
  <si>
    <t>STATE BANK OF INDIA JUNE      2018 FUTURE</t>
  </si>
  <si>
    <t>HOUSING DEVELOPMENT FINANCE CORPORATION LTD MAY       2018 FUTURE</t>
  </si>
  <si>
    <t>DEWAN HOUSING FINANCE CORPORATION LTD MAY       2018 FUTURE</t>
  </si>
  <si>
    <t>SUN PHARMACEUTICALS INDUSTRIES LTD MAY       2018 FUTURE</t>
  </si>
  <si>
    <t>Indiabulls Short Term Fund</t>
  </si>
  <si>
    <t>INE311I07047</t>
  </si>
  <si>
    <t>TANGLIN DEVELOPMENTS LIMITED</t>
  </si>
  <si>
    <t>INE465R08032</t>
  </si>
  <si>
    <t>FORBES TECHNOSYS LIMITED</t>
  </si>
  <si>
    <t>INE804K07013</t>
  </si>
  <si>
    <t>RELIANCE BIG ENTERTAINMENT PVT LTD</t>
  </si>
  <si>
    <t>INE087P07089</t>
  </si>
  <si>
    <t>CARE AA+</t>
  </si>
  <si>
    <t>INE445K07171</t>
  </si>
  <si>
    <t>RELIANCE BROADCAST NETWORK LTD</t>
  </si>
  <si>
    <t>INE311I07039</t>
  </si>
  <si>
    <t>INE148I07HQ0</t>
  </si>
  <si>
    <t>INDIABULLS HOUSING FINANCE LTD</t>
  </si>
  <si>
    <t>INE110L07054</t>
  </si>
  <si>
    <t>INE110L08029</t>
  </si>
  <si>
    <t>INE657N07191</t>
  </si>
  <si>
    <t>EDELWEISS COMMODITIES SERVICES LTD</t>
  </si>
  <si>
    <t>INE755K07181</t>
  </si>
  <si>
    <t>DALMIA CEMENT BHARAT LTD</t>
  </si>
  <si>
    <t>INE114A07562</t>
  </si>
  <si>
    <t>STEEL AUTHORITY OF INDIA LIMITED</t>
  </si>
  <si>
    <t>INE608A09098</t>
  </si>
  <si>
    <t>PUNJAB &amp; SIND BANK</t>
  </si>
  <si>
    <t>INE688V08015</t>
  </si>
  <si>
    <t>ENERGY EFFICIENCY SERVICES LTD</t>
  </si>
  <si>
    <t>INE114A07794</t>
  </si>
  <si>
    <t>INE050A01025</t>
  </si>
  <si>
    <t>BOMBAY BURMAH TRADING CORPORATION LIMITED</t>
  </si>
  <si>
    <t>INE850D01014</t>
  </si>
  <si>
    <t>INE731H01025</t>
  </si>
  <si>
    <t>ACTION CONST EQUIP LTD</t>
  </si>
  <si>
    <t>INE192A01025</t>
  </si>
  <si>
    <t>TATA GLOBAL BEVERAGES LTD. (EX- TATA TEA LTD)</t>
  </si>
  <si>
    <t>INE022I01019</t>
  </si>
  <si>
    <t>ASIAN GRANITO INDIA LIMITED</t>
  </si>
  <si>
    <t>INE348B01021</t>
  </si>
  <si>
    <t>CENTURY PLYBOARDS (INDIA)  LIMITED</t>
  </si>
  <si>
    <t>CONSUMER DURABLES</t>
  </si>
  <si>
    <t>INE203G01027</t>
  </si>
  <si>
    <t>INDRAPRASTHA GAS</t>
  </si>
  <si>
    <t>INE532F01054</t>
  </si>
  <si>
    <t>EDELWEISS FINANCIAL SERVICES</t>
  </si>
  <si>
    <t>INE573A01042</t>
  </si>
  <si>
    <t>JK TYRE &amp; INDUSTRIES LTD</t>
  </si>
  <si>
    <t>INE502K01016</t>
  </si>
  <si>
    <t>TALWALKARS BETTER VALUE FITNESS LTD</t>
  </si>
  <si>
    <t>SERVICES</t>
  </si>
  <si>
    <t>Indiabulls Savings Income Fund</t>
  </si>
  <si>
    <t>INE115A07KH9</t>
  </si>
  <si>
    <t>INE226H01026</t>
  </si>
  <si>
    <t>SADBHAV ENGINEERING LTD</t>
  </si>
  <si>
    <t>INE095A01012</t>
  </si>
  <si>
    <t>INE918T07012</t>
  </si>
  <si>
    <t>HERO WIND ENERGY LTD</t>
  </si>
  <si>
    <t>Indiabulls Value Discovery Fund</t>
  </si>
  <si>
    <t>INE093A01033</t>
  </si>
  <si>
    <t>HEXAWARE TECHNOLOGIES LTD</t>
  </si>
  <si>
    <t>INE089C01029</t>
  </si>
  <si>
    <t>STERLITE TECHNOLOGIES LTD</t>
  </si>
  <si>
    <t>TELECOM -  EQUIPMENT &amp; ACCESSORIES</t>
  </si>
  <si>
    <t>INE136B01020</t>
  </si>
  <si>
    <t>INE602A01023</t>
  </si>
  <si>
    <t>PHILLIPS CARBON BLACK LIMITED</t>
  </si>
  <si>
    <t>INE220B01022</t>
  </si>
  <si>
    <t>KALPATARU POWER TRANSMISSION LTD</t>
  </si>
  <si>
    <t>INE195A01028</t>
  </si>
  <si>
    <t>SUPREME INDUSTRIES LTD</t>
  </si>
  <si>
    <t>INDUSTRIAL PRODUCTS</t>
  </si>
  <si>
    <t>INE539A01019</t>
  </si>
  <si>
    <t>GHCL LTD</t>
  </si>
  <si>
    <t>INE302A01020</t>
  </si>
  <si>
    <t>EXIDE INDUSTRIES LTD</t>
  </si>
  <si>
    <t>INE789E01012</t>
  </si>
  <si>
    <t>J K PAPER LTD</t>
  </si>
  <si>
    <t>PAPER</t>
  </si>
  <si>
    <t>INE332A01027</t>
  </si>
  <si>
    <t>THOMAS COOK LTD</t>
  </si>
  <si>
    <t>INE974H01013</t>
  </si>
  <si>
    <t>MEGHMANI ORGANICS LTD</t>
  </si>
  <si>
    <t>PESTICIDES</t>
  </si>
  <si>
    <t>INE742F01042</t>
  </si>
  <si>
    <t>ADANI PORT &amp; SPECIAL ECO ZONE LTD</t>
  </si>
  <si>
    <t>INE495B01038</t>
  </si>
  <si>
    <t>SUVEN LIFE SCIENCES LTD</t>
  </si>
  <si>
    <t>INE613A01020</t>
  </si>
  <si>
    <t>RALLIS INDIA LTD</t>
  </si>
  <si>
    <t>INE825A01012</t>
  </si>
  <si>
    <t>VARDHMAN TEXTILES LIMITED</t>
  </si>
  <si>
    <t>TEXTILES - COTTON</t>
  </si>
  <si>
    <t>INE493A01027</t>
  </si>
  <si>
    <t>TATA COFFEE LTD</t>
  </si>
  <si>
    <t>INE663A01017</t>
  </si>
  <si>
    <t>SUPREME PETROCHEM LIMITED</t>
  </si>
  <si>
    <t>INE070I01018</t>
  </si>
  <si>
    <t>INSECTICIDES (INDIA) LIMITED</t>
  </si>
  <si>
    <t>INE927D01028</t>
  </si>
  <si>
    <t>JBM AUTO LTD</t>
  </si>
  <si>
    <t>INE516A01017</t>
  </si>
  <si>
    <t>UFLEX LTD</t>
  </si>
  <si>
    <t>INE907A01026</t>
  </si>
  <si>
    <t>KALYANI STEELS LTD</t>
  </si>
  <si>
    <t>INE372A01015</t>
  </si>
  <si>
    <t>APAR INDUSTRIES LTD</t>
  </si>
  <si>
    <t>INE919H01018</t>
  </si>
  <si>
    <t>INDIAN METALS &amp; FERRO ALLOYS LTD.</t>
  </si>
  <si>
    <t>INE059B01024</t>
  </si>
  <si>
    <t>SIMPLEX INFRASTRUCTURES LTD</t>
  </si>
  <si>
    <t>INE199G01027</t>
  </si>
  <si>
    <t>JAGRAN PRAKASHAN LTD</t>
  </si>
  <si>
    <t>INE286K01024</t>
  </si>
  <si>
    <t>TECHNO ELECTRIC &amp; ENGINEERING COMPANY LIMITED</t>
  </si>
  <si>
    <t>INE256C01024</t>
  </si>
  <si>
    <t>TRIVENI ENGINEERING AND INDUSTRIES LTD</t>
  </si>
  <si>
    <t>INE459A01010</t>
  </si>
  <si>
    <t>BANNARI AMMAN SUGARS LTD.</t>
  </si>
  <si>
    <t>11000 PUT DECEMBER  2018 OPTION</t>
  </si>
  <si>
    <t>Indiabulls FMP  Series V  (Plan 1) - 1175 Days</t>
  </si>
  <si>
    <t>INE036A07500</t>
  </si>
  <si>
    <t>GSEC - GOVT SECURITIES(GSE)</t>
  </si>
  <si>
    <t>IN0020170174</t>
  </si>
  <si>
    <t xml:space="preserve">7.17% GOI - 08-JAN-2028  </t>
  </si>
  <si>
    <t>IN0020160019</t>
  </si>
  <si>
    <t xml:space="preserve">7.61% GOI  09-May-2030  </t>
  </si>
  <si>
    <t>IN0020160035</t>
  </si>
  <si>
    <t xml:space="preserve">6.97% GOI - 06-SEP-2026  </t>
  </si>
  <si>
    <t>IN1920160083</t>
  </si>
  <si>
    <t>Indiabulls Income Fund</t>
  </si>
  <si>
    <t>IND A1+</t>
  </si>
  <si>
    <t>SOVEREIGN</t>
  </si>
  <si>
    <t>IND AAA</t>
  </si>
  <si>
    <t>BWR A1+</t>
  </si>
  <si>
    <t>ICRA AAA</t>
  </si>
  <si>
    <t>IND AA-</t>
  </si>
  <si>
    <t>BWR AA-</t>
  </si>
  <si>
    <t>CARE AA</t>
  </si>
  <si>
    <t>CRISIL AA+</t>
  </si>
  <si>
    <t>ICRA AA+</t>
  </si>
  <si>
    <t>ICRA  AAA</t>
  </si>
  <si>
    <t>ICRA AA</t>
  </si>
  <si>
    <t>ICRA A</t>
  </si>
  <si>
    <t xml:space="preserve">7.20% KARNATAKA SDL  25-JAN-2027  </t>
  </si>
  <si>
    <t>GODREJ AGROVET LIMITED</t>
  </si>
  <si>
    <t>DIVIS  LABORATORIES LTD</t>
  </si>
  <si>
    <t>AMBUJA CEMENTS LTD</t>
  </si>
  <si>
    <t>TV18 BROADCAST LTD</t>
  </si>
  <si>
    <t>CYIENT LIMITED</t>
  </si>
  <si>
    <t>Indiabulls Liquid Fund</t>
  </si>
  <si>
    <t>ICRA A1+(SO)</t>
  </si>
  <si>
    <t>Crisil A1+ (SO)</t>
  </si>
  <si>
    <t>Market Value 
(In Rs. lakh)</t>
  </si>
  <si>
    <t>BWR A-(SO)</t>
  </si>
  <si>
    <t>ICRA AA-(SO)</t>
  </si>
  <si>
    <t>BWR AA+(SO)</t>
  </si>
  <si>
    <t>CARE AA+ (SO)</t>
  </si>
  <si>
    <t>CARE AA+(SO)</t>
  </si>
  <si>
    <t>HOTELS - RESORTS</t>
  </si>
  <si>
    <t>TALWALKARS LIFESTYLES LIMITED</t>
  </si>
  <si>
    <t>Indiabulls Ultra Short Term Fund</t>
  </si>
  <si>
    <t>Indiabulls Gilt Fund</t>
  </si>
  <si>
    <t>Indiabulls Tax Savings Fund</t>
  </si>
  <si>
    <t>TATA MOTORS FINANCE SOLUTIONS LTD</t>
  </si>
  <si>
    <t>All corporate ratings are assigned by rating agencies like CRISIL; CARE; ICRA; FITCH.</t>
  </si>
  <si>
    <t>* Total Exposure to illiquid securities is 0.00% of the portfolio;i.e. Rs.0.00 lakhs</t>
  </si>
  <si>
    <t>#Pending Listing on Stock Exchange</t>
  </si>
  <si>
    <t xml:space="preserve">Note: There were no CDS transactions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</si>
</sst>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%"/>
    <numFmt numFmtId="165" formatCode="0.0000%"/>
  </numFmts>
  <fonts count="22" x14ac:knownFonts="1">
    <font>
      <sz val="11"/>
      <color theme="1"/>
      <name val="Calibri"/>
      <family val="2"/>
      <scheme val="minor"/>
    </font>
    <font>
      <sz val="9"/>
      <color indexed="8"/>
      <name val="Trebuchet MS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sz val="12"/>
      <color indexed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43">
    <xf numFmtId="0" fontId="0" fillId="0" borderId="0" applyNumberFormat="0" applyFont="0" applyFill="0" applyBorder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0" applyNumberFormat="0" applyBorder="0" applyAlignment="0" applyProtection="0"/>
    <xf numFmtId="0" fontId="8" fillId="28" borderId="2" applyNumberFormat="0" applyAlignment="0" applyProtection="0"/>
    <xf numFmtId="0" fontId="9" fillId="29" borderId="3" applyNumberFormat="0" applyAlignment="0" applyProtection="0"/>
    <xf numFmtId="0" fontId="10" fillId="0" borderId="0" applyNumberFormat="0" applyFill="0" applyBorder="0" applyAlignment="0" applyProtection="0"/>
    <xf numFmtId="0" fontId="11" fillId="30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31" borderId="2" applyNumberFormat="0" applyAlignment="0" applyProtection="0"/>
    <xf numFmtId="0" fontId="16" fillId="0" borderId="7" applyNumberFormat="0" applyFill="0" applyAlignment="0" applyProtection="0"/>
    <xf numFmtId="0" fontId="17" fillId="32" borderId="0" applyNumberFormat="0" applyBorder="0" applyAlignment="0" applyProtection="0"/>
    <xf numFmtId="0" fontId="5" fillId="0" borderId="0" applyNumberFormat="0" applyFont="0" applyFill="0" applyBorder="0" applyAlignment="0" applyProtection="0"/>
    <xf numFmtId="0" fontId="5" fillId="33" borderId="8" applyNumberFormat="0" applyFont="0" applyAlignment="0" applyProtection="0"/>
    <xf numFmtId="0" fontId="18" fillId="28" borderId="9" applyNumberForma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39">
    <xf numFmtId="0" fontId="0" fillId="0" borderId="0" xfId="0"/>
    <xf numFmtId="0" fontId="1" fillId="2" borderId="11" xfId="37" applyFont="1" applyFill="1" applyBorder="1" applyAlignment="1">
      <alignment horizontal="center"/>
    </xf>
    <xf numFmtId="4" fontId="1" fillId="0" borderId="0" xfId="37" applyNumberFormat="1" applyFont="1" applyAlignment="1">
      <alignment horizontal="left"/>
    </xf>
    <xf numFmtId="49" fontId="2" fillId="34" borderId="1" xfId="0" applyNumberFormat="1" applyFont="1" applyFill="1" applyBorder="1" applyAlignment="1">
      <alignment horizontal="center"/>
    </xf>
    <xf numFmtId="49" fontId="2" fillId="34" borderId="1" xfId="0" applyNumberFormat="1" applyFont="1" applyFill="1" applyBorder="1" applyAlignment="1">
      <alignment horizontal="right"/>
    </xf>
    <xf numFmtId="49" fontId="3" fillId="34" borderId="1" xfId="0" applyNumberFormat="1" applyFont="1" applyFill="1" applyBorder="1" applyAlignment="1">
      <alignment horizontal="center" wrapText="1"/>
    </xf>
    <xf numFmtId="49" fontId="3" fillId="34" borderId="1" xfId="0" applyNumberFormat="1" applyFont="1" applyFill="1" applyBorder="1" applyAlignment="1">
      <alignment horizontal="left" wrapText="1"/>
    </xf>
    <xf numFmtId="3" fontId="3" fillId="34" borderId="1" xfId="0" applyNumberFormat="1" applyFont="1" applyFill="1" applyBorder="1" applyAlignment="1">
      <alignment horizontal="right" wrapText="1"/>
    </xf>
    <xf numFmtId="4" fontId="3" fillId="34" borderId="1" xfId="0" applyNumberFormat="1" applyFont="1" applyFill="1" applyBorder="1" applyAlignment="1">
      <alignment horizontal="right" wrapText="1"/>
    </xf>
    <xf numFmtId="4" fontId="1" fillId="0" borderId="1" xfId="37" applyNumberFormat="1" applyFont="1" applyBorder="1" applyAlignment="1">
      <alignment horizontal="left"/>
    </xf>
    <xf numFmtId="0" fontId="0" fillId="0" borderId="1" xfId="0" applyBorder="1"/>
    <xf numFmtId="4" fontId="1" fillId="0" borderId="1" xfId="37" applyNumberFormat="1" applyFont="1" applyBorder="1" applyAlignment="1">
      <alignment horizontal="right"/>
    </xf>
    <xf numFmtId="49" fontId="2" fillId="34" borderId="1" xfId="0" applyNumberFormat="1" applyFont="1" applyFill="1" applyBorder="1" applyAlignment="1">
      <alignment horizontal="left"/>
    </xf>
    <xf numFmtId="49" fontId="4" fillId="34" borderId="1" xfId="0" applyNumberFormat="1" applyFont="1" applyFill="1" applyBorder="1" applyAlignment="1">
      <alignment horizontal="center"/>
    </xf>
    <xf numFmtId="4" fontId="1" fillId="0" borderId="1" xfId="37" applyNumberFormat="1" applyFont="1" applyFill="1" applyBorder="1" applyAlignment="1">
      <alignment horizontal="left"/>
    </xf>
    <xf numFmtId="4" fontId="0" fillId="0" borderId="0" xfId="0" applyNumberFormat="1"/>
    <xf numFmtId="10" fontId="0" fillId="0" borderId="0" xfId="0" applyNumberFormat="1"/>
    <xf numFmtId="164" fontId="0" fillId="0" borderId="0" xfId="0" applyNumberFormat="1"/>
    <xf numFmtId="10" fontId="0" fillId="0" borderId="1" xfId="0" applyNumberFormat="1" applyBorder="1"/>
    <xf numFmtId="164" fontId="0" fillId="0" borderId="1" xfId="0" applyNumberFormat="1" applyBorder="1"/>
    <xf numFmtId="165" fontId="0" fillId="0" borderId="0" xfId="0" applyNumberFormat="1"/>
    <xf numFmtId="49" fontId="2" fillId="34" borderId="1" xfId="0" applyNumberFormat="1" applyFont="1" applyFill="1" applyBorder="1" applyAlignment="1">
      <alignment horizontal="left"/>
    </xf>
    <xf numFmtId="49" fontId="2" fillId="34" borderId="1" xfId="0" applyNumberFormat="1" applyFont="1" applyFill="1" applyBorder="1" applyAlignment="1">
      <alignment horizontal="left"/>
    </xf>
    <xf numFmtId="49" fontId="2" fillId="34" borderId="12" xfId="0" applyNumberFormat="1" applyFont="1" applyFill="1" applyBorder="1" applyAlignment="1"/>
    <xf numFmtId="49" fontId="2" fillId="34" borderId="13" xfId="0" applyNumberFormat="1" applyFont="1" applyFill="1" applyBorder="1" applyAlignment="1"/>
    <xf numFmtId="4" fontId="1" fillId="35" borderId="1" xfId="37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9" fontId="2" fillId="34" borderId="1" xfId="0" applyNumberFormat="1" applyFont="1" applyFill="1" applyBorder="1" applyAlignment="1">
      <alignment horizontal="left"/>
    </xf>
    <xf numFmtId="49" fontId="4" fillId="34" borderId="1" xfId="0" applyNumberFormat="1" applyFont="1" applyFill="1" applyBorder="1" applyAlignment="1">
      <alignment horizontal="left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10"/>
  <sheetViews>
    <sheetView workbookViewId="0">
      <selection activeCell="C116" sqref="C116"/>
    </sheetView>
  </sheetViews>
  <sheetFormatPr defaultRowHeight="15" x14ac:dyDescent="0.25"/>
  <cols>
    <col min="1" max="1" width="1" customWidth="1"/>
    <col min="2" max="2" width="12.28515625" bestFit="1" customWidth="1"/>
    <col min="3" max="3" width="46.85546875" bestFit="1" customWidth="1"/>
    <col min="4" max="4" width="14.7109375" bestFit="1" customWidth="1"/>
    <col min="5" max="5" width="11.85546875" bestFit="1" customWidth="1"/>
    <col min="6" max="6" width="13.140625" bestFit="1" customWidth="1"/>
    <col min="7" max="7" width="8.85546875" bestFit="1" customWidth="1"/>
    <col min="8" max="8" width="10.28515625" bestFit="1" customWidth="1"/>
    <col min="9" max="9" width="12.42578125" bestFit="1" customWidth="1"/>
    <col min="10" max="10" width="10.28515625" bestFit="1" customWidth="1"/>
    <col min="11" max="11" width="12.42578125" bestFit="1" customWidth="1"/>
    <col min="12" max="12" width="10.28515625" bestFit="1" customWidth="1"/>
    <col min="13" max="13" width="12.42578125" bestFit="1" customWidth="1"/>
    <col min="14" max="14" width="10.28515625" bestFit="1" customWidth="1"/>
    <col min="15" max="15" width="12.42578125" bestFit="1" customWidth="1"/>
  </cols>
  <sheetData>
    <row r="1" spans="2:9" ht="16.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9" ht="15.75" x14ac:dyDescent="0.25">
      <c r="B2" s="3"/>
      <c r="C2" s="21" t="s">
        <v>507</v>
      </c>
      <c r="D2" s="4"/>
      <c r="E2" s="3"/>
      <c r="F2" s="37"/>
      <c r="G2" s="37"/>
    </row>
    <row r="3" spans="2:9" ht="16.5" x14ac:dyDescent="0.35">
      <c r="C3" s="2" t="s">
        <v>6</v>
      </c>
    </row>
    <row r="4" spans="2:9" ht="26.25" x14ac:dyDescent="0.25">
      <c r="B4" s="5" t="s">
        <v>7</v>
      </c>
      <c r="C4" s="6" t="s">
        <v>8</v>
      </c>
      <c r="D4" s="6" t="s">
        <v>9</v>
      </c>
      <c r="E4" s="5" t="s">
        <v>10</v>
      </c>
      <c r="F4" s="7" t="s">
        <v>510</v>
      </c>
      <c r="G4" s="8" t="s">
        <v>11</v>
      </c>
    </row>
    <row r="5" spans="2:9" ht="16.5" x14ac:dyDescent="0.35">
      <c r="B5" s="9" t="s">
        <v>0</v>
      </c>
      <c r="C5" s="9" t="s">
        <v>12</v>
      </c>
      <c r="D5" s="9" t="s">
        <v>0</v>
      </c>
      <c r="E5" s="10"/>
      <c r="F5" s="10"/>
      <c r="G5" s="10"/>
    </row>
    <row r="6" spans="2:9" ht="16.5" x14ac:dyDescent="0.35">
      <c r="B6" s="9" t="s">
        <v>13</v>
      </c>
      <c r="C6" s="9" t="s">
        <v>14</v>
      </c>
      <c r="D6" s="18" t="s">
        <v>488</v>
      </c>
      <c r="E6" s="11">
        <v>19500000</v>
      </c>
      <c r="F6" s="11">
        <v>19424.07</v>
      </c>
      <c r="G6" s="18">
        <v>3.5200000000000002E-2</v>
      </c>
      <c r="I6" s="16"/>
    </row>
    <row r="7" spans="2:9" ht="16.5" x14ac:dyDescent="0.35">
      <c r="B7" s="9" t="s">
        <v>15</v>
      </c>
      <c r="C7" s="9" t="s">
        <v>16</v>
      </c>
      <c r="D7" s="18" t="s">
        <v>488</v>
      </c>
      <c r="E7" s="11">
        <v>15600000</v>
      </c>
      <c r="F7" s="11">
        <v>15557.94</v>
      </c>
      <c r="G7" s="18">
        <v>2.8199999999999999E-2</v>
      </c>
      <c r="I7" s="16"/>
    </row>
    <row r="8" spans="2:9" ht="16.5" x14ac:dyDescent="0.35">
      <c r="B8" s="9" t="s">
        <v>17</v>
      </c>
      <c r="C8" s="9" t="s">
        <v>18</v>
      </c>
      <c r="D8" s="18" t="s">
        <v>51</v>
      </c>
      <c r="E8" s="11">
        <v>15000000</v>
      </c>
      <c r="F8" s="11">
        <v>14930.3</v>
      </c>
      <c r="G8" s="18">
        <v>2.7099999999999999E-2</v>
      </c>
      <c r="I8" s="16"/>
    </row>
    <row r="9" spans="2:9" ht="16.5" x14ac:dyDescent="0.35">
      <c r="B9" s="9" t="s">
        <v>19</v>
      </c>
      <c r="C9" s="9" t="s">
        <v>20</v>
      </c>
      <c r="D9" s="18" t="s">
        <v>488</v>
      </c>
      <c r="E9" s="11">
        <v>15000000</v>
      </c>
      <c r="F9" s="11">
        <v>14923.59</v>
      </c>
      <c r="G9" s="18">
        <v>2.7099999999999999E-2</v>
      </c>
      <c r="I9" s="16"/>
    </row>
    <row r="10" spans="2:9" ht="16.5" x14ac:dyDescent="0.35">
      <c r="B10" s="9" t="s">
        <v>21</v>
      </c>
      <c r="C10" s="25" t="s">
        <v>521</v>
      </c>
      <c r="D10" s="18" t="s">
        <v>94</v>
      </c>
      <c r="E10" s="11">
        <v>15000000</v>
      </c>
      <c r="F10" s="11">
        <v>14875.58</v>
      </c>
      <c r="G10" s="18">
        <v>2.7000000000000003E-2</v>
      </c>
      <c r="I10" s="16"/>
    </row>
    <row r="11" spans="2:9" ht="16.5" x14ac:dyDescent="0.35">
      <c r="B11" s="9" t="s">
        <v>22</v>
      </c>
      <c r="C11" s="9" t="s">
        <v>23</v>
      </c>
      <c r="D11" s="18" t="s">
        <v>59</v>
      </c>
      <c r="E11" s="11">
        <v>15000000</v>
      </c>
      <c r="F11" s="11">
        <v>14855.6</v>
      </c>
      <c r="G11" s="18">
        <v>2.69E-2</v>
      </c>
      <c r="I11" s="16"/>
    </row>
    <row r="12" spans="2:9" ht="16.5" x14ac:dyDescent="0.35">
      <c r="B12" s="9" t="s">
        <v>24</v>
      </c>
      <c r="C12" s="9" t="s">
        <v>25</v>
      </c>
      <c r="D12" s="18" t="s">
        <v>59</v>
      </c>
      <c r="E12" s="11">
        <v>14500000</v>
      </c>
      <c r="F12" s="11">
        <v>14447.42</v>
      </c>
      <c r="G12" s="18">
        <v>2.6200000000000001E-2</v>
      </c>
      <c r="I12" s="16"/>
    </row>
    <row r="13" spans="2:9" ht="16.5" x14ac:dyDescent="0.35">
      <c r="B13" s="9" t="s">
        <v>26</v>
      </c>
      <c r="C13" s="9" t="s">
        <v>27</v>
      </c>
      <c r="D13" s="18" t="s">
        <v>51</v>
      </c>
      <c r="E13" s="11">
        <v>14500000</v>
      </c>
      <c r="F13" s="11">
        <v>14425.06</v>
      </c>
      <c r="G13" s="18">
        <v>2.6200000000000001E-2</v>
      </c>
      <c r="I13" s="16"/>
    </row>
    <row r="14" spans="2:9" ht="16.5" x14ac:dyDescent="0.35">
      <c r="B14" s="9" t="s">
        <v>28</v>
      </c>
      <c r="C14" s="9" t="s">
        <v>29</v>
      </c>
      <c r="D14" s="18" t="s">
        <v>51</v>
      </c>
      <c r="E14" s="11">
        <v>10000000</v>
      </c>
      <c r="F14" s="11">
        <v>9950.0400000000009</v>
      </c>
      <c r="G14" s="18">
        <v>1.8000000000000002E-2</v>
      </c>
      <c r="I14" s="16"/>
    </row>
    <row r="15" spans="2:9" ht="16.5" x14ac:dyDescent="0.35">
      <c r="B15" s="9" t="s">
        <v>30</v>
      </c>
      <c r="C15" s="9" t="s">
        <v>31</v>
      </c>
      <c r="D15" s="18" t="s">
        <v>51</v>
      </c>
      <c r="E15" s="11">
        <v>10000000</v>
      </c>
      <c r="F15" s="11">
        <v>9943.07</v>
      </c>
      <c r="G15" s="18">
        <v>1.8000000000000002E-2</v>
      </c>
      <c r="I15" s="16"/>
    </row>
    <row r="16" spans="2:9" ht="16.5" x14ac:dyDescent="0.35">
      <c r="B16" s="9" t="s">
        <v>32</v>
      </c>
      <c r="C16" s="9" t="s">
        <v>33</v>
      </c>
      <c r="D16" s="18" t="s">
        <v>51</v>
      </c>
      <c r="E16" s="11">
        <v>10000000</v>
      </c>
      <c r="F16" s="11">
        <v>9941.8700000000008</v>
      </c>
      <c r="G16" s="18">
        <v>1.8000000000000002E-2</v>
      </c>
      <c r="I16" s="16"/>
    </row>
    <row r="17" spans="2:9" ht="16.5" x14ac:dyDescent="0.35">
      <c r="B17" s="9" t="s">
        <v>34</v>
      </c>
      <c r="C17" s="9" t="s">
        <v>35</v>
      </c>
      <c r="D17" s="18" t="s">
        <v>59</v>
      </c>
      <c r="E17" s="11">
        <v>10000000</v>
      </c>
      <c r="F17" s="11">
        <v>9928.4599999999991</v>
      </c>
      <c r="G17" s="18">
        <v>1.8000000000000002E-2</v>
      </c>
      <c r="I17" s="16"/>
    </row>
    <row r="18" spans="2:9" ht="16.5" x14ac:dyDescent="0.35">
      <c r="B18" s="9" t="s">
        <v>36</v>
      </c>
      <c r="C18" s="9" t="s">
        <v>37</v>
      </c>
      <c r="D18" s="18" t="s">
        <v>59</v>
      </c>
      <c r="E18" s="11">
        <v>10000000</v>
      </c>
      <c r="F18" s="11">
        <v>9886.59</v>
      </c>
      <c r="G18" s="18">
        <v>1.7899999999999999E-2</v>
      </c>
      <c r="I18" s="16"/>
    </row>
    <row r="19" spans="2:9" ht="16.5" x14ac:dyDescent="0.35">
      <c r="B19" s="9" t="s">
        <v>38</v>
      </c>
      <c r="C19" s="9" t="s">
        <v>39</v>
      </c>
      <c r="D19" s="18" t="s">
        <v>59</v>
      </c>
      <c r="E19" s="11">
        <v>10000000</v>
      </c>
      <c r="F19" s="11">
        <v>9841.18</v>
      </c>
      <c r="G19" s="18">
        <v>1.78E-2</v>
      </c>
      <c r="I19" s="16"/>
    </row>
    <row r="20" spans="2:9" ht="16.5" x14ac:dyDescent="0.35">
      <c r="B20" s="9" t="s">
        <v>40</v>
      </c>
      <c r="C20" s="9" t="s">
        <v>39</v>
      </c>
      <c r="D20" s="18" t="s">
        <v>59</v>
      </c>
      <c r="E20" s="11">
        <v>10000000</v>
      </c>
      <c r="F20" s="11">
        <v>9835.1</v>
      </c>
      <c r="G20" s="18">
        <v>1.78E-2</v>
      </c>
      <c r="I20" s="16"/>
    </row>
    <row r="21" spans="2:9" ht="16.5" x14ac:dyDescent="0.35">
      <c r="B21" s="9" t="s">
        <v>41</v>
      </c>
      <c r="C21" s="9" t="s">
        <v>25</v>
      </c>
      <c r="D21" s="18" t="s">
        <v>59</v>
      </c>
      <c r="E21" s="11">
        <v>8500000</v>
      </c>
      <c r="F21" s="11">
        <v>8423.74</v>
      </c>
      <c r="G21" s="18">
        <v>1.5300000000000001E-2</v>
      </c>
      <c r="I21" s="16"/>
    </row>
    <row r="22" spans="2:9" ht="16.5" x14ac:dyDescent="0.35">
      <c r="B22" s="9" t="s">
        <v>42</v>
      </c>
      <c r="C22" s="9" t="s">
        <v>43</v>
      </c>
      <c r="D22" s="18" t="s">
        <v>59</v>
      </c>
      <c r="E22" s="11">
        <v>7500000</v>
      </c>
      <c r="F22" s="11">
        <v>7488.35</v>
      </c>
      <c r="G22" s="18">
        <v>1.3600000000000001E-2</v>
      </c>
      <c r="I22" s="16"/>
    </row>
    <row r="23" spans="2:9" ht="16.5" x14ac:dyDescent="0.35">
      <c r="B23" s="9" t="s">
        <v>44</v>
      </c>
      <c r="C23" s="9" t="s">
        <v>45</v>
      </c>
      <c r="D23" s="18" t="s">
        <v>51</v>
      </c>
      <c r="E23" s="11">
        <v>7500000</v>
      </c>
      <c r="F23" s="11">
        <v>7470.23</v>
      </c>
      <c r="G23" s="18">
        <v>1.3500000000000002E-2</v>
      </c>
      <c r="I23" s="16"/>
    </row>
    <row r="24" spans="2:9" ht="16.5" x14ac:dyDescent="0.35">
      <c r="B24" s="9" t="s">
        <v>46</v>
      </c>
      <c r="C24" s="9" t="s">
        <v>39</v>
      </c>
      <c r="D24" s="18" t="s">
        <v>59</v>
      </c>
      <c r="E24" s="11">
        <v>7500000</v>
      </c>
      <c r="F24" s="11">
        <v>7460.24</v>
      </c>
      <c r="G24" s="18">
        <v>1.3500000000000002E-2</v>
      </c>
      <c r="I24" s="16"/>
    </row>
    <row r="25" spans="2:9" ht="16.5" x14ac:dyDescent="0.35">
      <c r="B25" s="9" t="s">
        <v>47</v>
      </c>
      <c r="C25" s="9" t="s">
        <v>48</v>
      </c>
      <c r="D25" s="18" t="s">
        <v>51</v>
      </c>
      <c r="E25" s="11">
        <v>7500000</v>
      </c>
      <c r="F25" s="11">
        <v>7457.82</v>
      </c>
      <c r="G25" s="18">
        <v>1.3500000000000002E-2</v>
      </c>
      <c r="I25" s="16"/>
    </row>
    <row r="26" spans="2:9" ht="16.5" x14ac:dyDescent="0.35">
      <c r="B26" s="9" t="s">
        <v>49</v>
      </c>
      <c r="C26" s="9" t="s">
        <v>50</v>
      </c>
      <c r="D26" s="18" t="s">
        <v>51</v>
      </c>
      <c r="E26" s="11">
        <v>5000000</v>
      </c>
      <c r="F26" s="11">
        <v>4986.7299999999996</v>
      </c>
      <c r="G26" s="18">
        <v>9.0000000000000011E-3</v>
      </c>
      <c r="I26" s="16"/>
    </row>
    <row r="27" spans="2:9" ht="16.5" x14ac:dyDescent="0.35">
      <c r="B27" s="9" t="s">
        <v>52</v>
      </c>
      <c r="C27" s="9" t="s">
        <v>20</v>
      </c>
      <c r="D27" s="18" t="s">
        <v>488</v>
      </c>
      <c r="E27" s="11">
        <v>5000000</v>
      </c>
      <c r="F27" s="11">
        <v>4978.9799999999996</v>
      </c>
      <c r="G27" s="18">
        <v>9.0000000000000011E-3</v>
      </c>
      <c r="I27" s="16"/>
    </row>
    <row r="28" spans="2:9" ht="16.5" x14ac:dyDescent="0.35">
      <c r="B28" s="9" t="s">
        <v>53</v>
      </c>
      <c r="C28" s="9" t="s">
        <v>54</v>
      </c>
      <c r="D28" s="18" t="s">
        <v>59</v>
      </c>
      <c r="E28" s="11">
        <v>5000000</v>
      </c>
      <c r="F28" s="11">
        <v>4974.33</v>
      </c>
      <c r="G28" s="18">
        <v>9.0000000000000011E-3</v>
      </c>
      <c r="I28" s="16"/>
    </row>
    <row r="29" spans="2:9" ht="16.5" x14ac:dyDescent="0.35">
      <c r="B29" s="9" t="s">
        <v>55</v>
      </c>
      <c r="C29" s="9" t="s">
        <v>56</v>
      </c>
      <c r="D29" s="18" t="s">
        <v>94</v>
      </c>
      <c r="E29" s="11">
        <v>5000000</v>
      </c>
      <c r="F29" s="11">
        <v>4972.78</v>
      </c>
      <c r="G29" s="18">
        <v>9.0000000000000011E-3</v>
      </c>
      <c r="I29" s="16"/>
    </row>
    <row r="30" spans="2:9" ht="16.5" x14ac:dyDescent="0.35">
      <c r="B30" s="9" t="s">
        <v>57</v>
      </c>
      <c r="C30" s="9" t="s">
        <v>58</v>
      </c>
      <c r="D30" s="18" t="s">
        <v>59</v>
      </c>
      <c r="E30" s="11">
        <v>5000000</v>
      </c>
      <c r="F30" s="11">
        <v>4972.3599999999997</v>
      </c>
      <c r="G30" s="18">
        <v>9.0000000000000011E-3</v>
      </c>
      <c r="I30" s="16"/>
    </row>
    <row r="31" spans="2:9" ht="16.5" x14ac:dyDescent="0.35">
      <c r="B31" s="9" t="s">
        <v>60</v>
      </c>
      <c r="C31" s="9" t="s">
        <v>61</v>
      </c>
      <c r="D31" s="18" t="s">
        <v>59</v>
      </c>
      <c r="E31" s="11">
        <v>5000000</v>
      </c>
      <c r="F31" s="11">
        <v>4969.5200000000004</v>
      </c>
      <c r="G31" s="18">
        <v>9.0000000000000011E-3</v>
      </c>
      <c r="I31" s="16"/>
    </row>
    <row r="32" spans="2:9" ht="16.5" x14ac:dyDescent="0.35">
      <c r="B32" s="9" t="s">
        <v>62</v>
      </c>
      <c r="C32" s="9" t="s">
        <v>63</v>
      </c>
      <c r="D32" s="18" t="s">
        <v>94</v>
      </c>
      <c r="E32" s="11">
        <v>5000000</v>
      </c>
      <c r="F32" s="11">
        <v>4967.29</v>
      </c>
      <c r="G32" s="18">
        <v>9.0000000000000011E-3</v>
      </c>
      <c r="I32" s="16"/>
    </row>
    <row r="33" spans="2:9" ht="16.5" x14ac:dyDescent="0.35">
      <c r="B33" s="9" t="s">
        <v>64</v>
      </c>
      <c r="C33" s="9" t="s">
        <v>48</v>
      </c>
      <c r="D33" s="18" t="s">
        <v>51</v>
      </c>
      <c r="E33" s="11">
        <v>5000000</v>
      </c>
      <c r="F33" s="11">
        <v>4965.09</v>
      </c>
      <c r="G33" s="18">
        <v>9.0000000000000011E-3</v>
      </c>
      <c r="I33" s="16"/>
    </row>
    <row r="34" spans="2:9" ht="16.5" x14ac:dyDescent="0.35">
      <c r="B34" s="9" t="s">
        <v>65</v>
      </c>
      <c r="C34" s="9" t="s">
        <v>66</v>
      </c>
      <c r="D34" s="18" t="s">
        <v>51</v>
      </c>
      <c r="E34" s="11">
        <v>5000000</v>
      </c>
      <c r="F34" s="11">
        <v>4961.87</v>
      </c>
      <c r="G34" s="18">
        <v>9.0000000000000011E-3</v>
      </c>
      <c r="I34" s="16"/>
    </row>
    <row r="35" spans="2:9" ht="16.5" x14ac:dyDescent="0.35">
      <c r="B35" s="9" t="s">
        <v>67</v>
      </c>
      <c r="C35" s="9" t="s">
        <v>66</v>
      </c>
      <c r="D35" s="18" t="s">
        <v>51</v>
      </c>
      <c r="E35" s="11">
        <v>5000000</v>
      </c>
      <c r="F35" s="11">
        <v>4955.78</v>
      </c>
      <c r="G35" s="18">
        <v>9.0000000000000011E-3</v>
      </c>
      <c r="I35" s="16"/>
    </row>
    <row r="36" spans="2:9" ht="16.5" x14ac:dyDescent="0.35">
      <c r="B36" s="9" t="s">
        <v>68</v>
      </c>
      <c r="C36" s="9" t="s">
        <v>54</v>
      </c>
      <c r="D36" s="18" t="s">
        <v>59</v>
      </c>
      <c r="E36" s="11">
        <v>5000000</v>
      </c>
      <c r="F36" s="11">
        <v>4953.2700000000004</v>
      </c>
      <c r="G36" s="18">
        <v>9.0000000000000011E-3</v>
      </c>
      <c r="I36" s="16"/>
    </row>
    <row r="37" spans="2:9" ht="16.5" x14ac:dyDescent="0.35">
      <c r="B37" s="9" t="s">
        <v>69</v>
      </c>
      <c r="C37" s="9" t="s">
        <v>33</v>
      </c>
      <c r="D37" s="18" t="s">
        <v>51</v>
      </c>
      <c r="E37" s="11">
        <v>5000000</v>
      </c>
      <c r="F37" s="11">
        <v>4941.17</v>
      </c>
      <c r="G37" s="18">
        <v>9.0000000000000011E-3</v>
      </c>
      <c r="I37" s="16"/>
    </row>
    <row r="38" spans="2:9" ht="16.5" x14ac:dyDescent="0.35">
      <c r="B38" s="9" t="s">
        <v>70</v>
      </c>
      <c r="C38" s="9" t="s">
        <v>61</v>
      </c>
      <c r="D38" s="18" t="s">
        <v>59</v>
      </c>
      <c r="E38" s="11">
        <v>5000000</v>
      </c>
      <c r="F38" s="11">
        <v>4926.96</v>
      </c>
      <c r="G38" s="18">
        <v>8.8999999999999999E-3</v>
      </c>
      <c r="I38" s="16"/>
    </row>
    <row r="39" spans="2:9" ht="16.5" x14ac:dyDescent="0.35">
      <c r="B39" s="9" t="s">
        <v>71</v>
      </c>
      <c r="C39" s="9" t="s">
        <v>66</v>
      </c>
      <c r="D39" s="18" t="s">
        <v>51</v>
      </c>
      <c r="E39" s="11">
        <v>5000000</v>
      </c>
      <c r="F39" s="11">
        <v>4921.29</v>
      </c>
      <c r="G39" s="18">
        <v>8.8999999999999999E-3</v>
      </c>
      <c r="I39" s="16"/>
    </row>
    <row r="40" spans="2:9" ht="16.5" x14ac:dyDescent="0.35">
      <c r="B40" s="9" t="s">
        <v>72</v>
      </c>
      <c r="C40" s="9" t="s">
        <v>73</v>
      </c>
      <c r="D40" s="18" t="s">
        <v>508</v>
      </c>
      <c r="E40" s="11">
        <v>2500000</v>
      </c>
      <c r="F40" s="11">
        <v>2487.94</v>
      </c>
      <c r="G40" s="18">
        <v>4.5000000000000005E-3</v>
      </c>
      <c r="I40" s="16"/>
    </row>
    <row r="41" spans="2:9" ht="16.5" x14ac:dyDescent="0.35">
      <c r="B41" s="9" t="s">
        <v>74</v>
      </c>
      <c r="C41" s="9" t="s">
        <v>75</v>
      </c>
      <c r="D41" s="18" t="s">
        <v>51</v>
      </c>
      <c r="E41" s="11">
        <v>2500000</v>
      </c>
      <c r="F41" s="11">
        <v>2486.04</v>
      </c>
      <c r="G41" s="18">
        <v>4.5000000000000005E-3</v>
      </c>
      <c r="I41" s="16"/>
    </row>
    <row r="42" spans="2:9" ht="16.5" x14ac:dyDescent="0.35">
      <c r="B42" s="9" t="s">
        <v>76</v>
      </c>
      <c r="C42" s="9" t="s">
        <v>75</v>
      </c>
      <c r="D42" s="18" t="s">
        <v>51</v>
      </c>
      <c r="E42" s="11">
        <v>2500000</v>
      </c>
      <c r="F42" s="11">
        <v>2483.7600000000002</v>
      </c>
      <c r="G42" s="18">
        <v>4.5000000000000005E-3</v>
      </c>
      <c r="I42" s="16"/>
    </row>
    <row r="43" spans="2:9" ht="16.5" x14ac:dyDescent="0.35">
      <c r="B43" s="9" t="s">
        <v>77</v>
      </c>
      <c r="C43" s="9" t="s">
        <v>78</v>
      </c>
      <c r="D43" s="18" t="s">
        <v>59</v>
      </c>
      <c r="E43" s="11">
        <v>2500000</v>
      </c>
      <c r="F43" s="11">
        <v>2478.2600000000002</v>
      </c>
      <c r="G43" s="18">
        <v>4.5000000000000005E-3</v>
      </c>
      <c r="I43" s="16"/>
    </row>
    <row r="44" spans="2:9" ht="16.5" x14ac:dyDescent="0.35">
      <c r="B44" s="9" t="s">
        <v>79</v>
      </c>
      <c r="C44" s="9" t="s">
        <v>73</v>
      </c>
      <c r="D44" s="18" t="s">
        <v>508</v>
      </c>
      <c r="E44" s="11">
        <v>2000000</v>
      </c>
      <c r="F44" s="11">
        <v>1989.93</v>
      </c>
      <c r="G44" s="18">
        <v>3.7000000000000002E-3</v>
      </c>
      <c r="I44" s="16"/>
    </row>
    <row r="45" spans="2:9" ht="16.5" x14ac:dyDescent="0.35">
      <c r="B45" s="9" t="s">
        <v>80</v>
      </c>
      <c r="C45" s="9" t="s">
        <v>81</v>
      </c>
      <c r="D45" s="18" t="s">
        <v>59</v>
      </c>
      <c r="E45" s="11">
        <v>1000000</v>
      </c>
      <c r="F45" s="11">
        <v>993.99</v>
      </c>
      <c r="G45" s="18">
        <v>1.9E-3</v>
      </c>
      <c r="I45" s="16"/>
    </row>
    <row r="46" spans="2:9" ht="16.5" x14ac:dyDescent="0.35">
      <c r="B46" s="9" t="s">
        <v>82</v>
      </c>
      <c r="C46" s="9" t="s">
        <v>81</v>
      </c>
      <c r="D46" s="18" t="s">
        <v>59</v>
      </c>
      <c r="E46" s="11">
        <v>1000000</v>
      </c>
      <c r="F46" s="11">
        <v>992.64</v>
      </c>
      <c r="G46" s="18">
        <v>1.9E-3</v>
      </c>
      <c r="I46" s="16"/>
    </row>
    <row r="47" spans="2:9" ht="16.5" x14ac:dyDescent="0.35">
      <c r="B47" s="9" t="s">
        <v>83</v>
      </c>
      <c r="C47" s="9" t="s">
        <v>81</v>
      </c>
      <c r="D47" s="18" t="s">
        <v>59</v>
      </c>
      <c r="E47" s="11">
        <v>1000000</v>
      </c>
      <c r="F47" s="11">
        <v>992.44</v>
      </c>
      <c r="G47" s="18">
        <v>1.9E-3</v>
      </c>
      <c r="I47" s="16"/>
    </row>
    <row r="48" spans="2:9" ht="16.5" x14ac:dyDescent="0.35">
      <c r="B48" s="9" t="s">
        <v>84</v>
      </c>
      <c r="C48" s="9" t="s">
        <v>85</v>
      </c>
      <c r="D48" s="18" t="s">
        <v>509</v>
      </c>
      <c r="E48" s="11">
        <v>1000000</v>
      </c>
      <c r="F48" s="11">
        <v>988.19</v>
      </c>
      <c r="G48" s="18">
        <v>1.9E-3</v>
      </c>
      <c r="I48" s="16"/>
    </row>
    <row r="49" spans="2:9" ht="16.5" x14ac:dyDescent="0.35">
      <c r="B49" s="9" t="s">
        <v>86</v>
      </c>
      <c r="C49" s="9" t="s">
        <v>29</v>
      </c>
      <c r="D49" s="18" t="s">
        <v>51</v>
      </c>
      <c r="E49" s="11">
        <v>500000</v>
      </c>
      <c r="F49" s="11">
        <v>499.91</v>
      </c>
      <c r="G49" s="18">
        <v>8.9999999999999998E-4</v>
      </c>
      <c r="I49" s="16"/>
    </row>
    <row r="50" spans="2:9" ht="16.5" x14ac:dyDescent="0.35">
      <c r="B50" s="9" t="s">
        <v>87</v>
      </c>
      <c r="C50" s="9" t="s">
        <v>88</v>
      </c>
      <c r="D50" s="18" t="s">
        <v>51</v>
      </c>
      <c r="E50" s="11">
        <v>500000</v>
      </c>
      <c r="F50" s="11">
        <v>497.87</v>
      </c>
      <c r="G50" s="18">
        <v>8.9999999999999998E-4</v>
      </c>
      <c r="I50" s="16"/>
    </row>
    <row r="51" spans="2:9" ht="16.5" x14ac:dyDescent="0.35">
      <c r="B51" s="9" t="s">
        <v>89</v>
      </c>
      <c r="C51" s="9" t="s">
        <v>16</v>
      </c>
      <c r="D51" s="18" t="s">
        <v>488</v>
      </c>
      <c r="E51" s="11">
        <v>500000</v>
      </c>
      <c r="F51" s="11">
        <v>497.4</v>
      </c>
      <c r="G51" s="18">
        <v>8.9999999999999998E-4</v>
      </c>
      <c r="I51" s="16"/>
    </row>
    <row r="52" spans="2:9" ht="16.5" x14ac:dyDescent="0.35">
      <c r="B52" s="9" t="s">
        <v>0</v>
      </c>
      <c r="C52" s="9" t="s">
        <v>90</v>
      </c>
      <c r="D52" s="9" t="s">
        <v>0</v>
      </c>
      <c r="E52" s="10"/>
      <c r="F52" s="11">
        <f>SUM(F6:F51)</f>
        <v>317902.04000000004</v>
      </c>
      <c r="G52" s="18">
        <f>SUM(G6:G51)</f>
        <v>0.57660000000000011</v>
      </c>
      <c r="I52" s="16"/>
    </row>
    <row r="53" spans="2:9" ht="16.5" x14ac:dyDescent="0.35">
      <c r="B53" s="9" t="s">
        <v>0</v>
      </c>
      <c r="C53" s="9" t="s">
        <v>91</v>
      </c>
      <c r="D53" s="9" t="s">
        <v>0</v>
      </c>
      <c r="E53" s="10"/>
      <c r="F53" s="10"/>
      <c r="G53" s="18"/>
      <c r="I53" s="16"/>
    </row>
    <row r="54" spans="2:9" ht="16.5" x14ac:dyDescent="0.35">
      <c r="B54" s="9" t="s">
        <v>92</v>
      </c>
      <c r="C54" s="9" t="s">
        <v>93</v>
      </c>
      <c r="D54" s="9" t="s">
        <v>94</v>
      </c>
      <c r="E54" s="11">
        <v>25000000</v>
      </c>
      <c r="F54" s="11">
        <v>24818.23</v>
      </c>
      <c r="G54" s="18">
        <v>4.4999999999999998E-2</v>
      </c>
      <c r="I54" s="16"/>
    </row>
    <row r="55" spans="2:9" ht="16.5" x14ac:dyDescent="0.35">
      <c r="B55" s="9" t="s">
        <v>95</v>
      </c>
      <c r="C55" s="9" t="s">
        <v>93</v>
      </c>
      <c r="D55" s="10" t="s">
        <v>94</v>
      </c>
      <c r="E55" s="11">
        <v>22500000</v>
      </c>
      <c r="F55" s="11">
        <v>22392.9</v>
      </c>
      <c r="G55" s="18">
        <v>4.0599999999999997E-2</v>
      </c>
      <c r="I55" s="16"/>
    </row>
    <row r="56" spans="2:9" ht="16.5" x14ac:dyDescent="0.35">
      <c r="B56" s="9" t="s">
        <v>96</v>
      </c>
      <c r="C56" s="9" t="s">
        <v>97</v>
      </c>
      <c r="D56" s="10" t="s">
        <v>59</v>
      </c>
      <c r="E56" s="11">
        <v>20000000</v>
      </c>
      <c r="F56" s="11">
        <v>19798.560000000001</v>
      </c>
      <c r="G56" s="18">
        <v>3.5900000000000001E-2</v>
      </c>
      <c r="I56" s="16"/>
    </row>
    <row r="57" spans="2:9" ht="16.5" x14ac:dyDescent="0.35">
      <c r="B57" s="9" t="s">
        <v>98</v>
      </c>
      <c r="C57" s="9" t="s">
        <v>99</v>
      </c>
      <c r="D57" s="10" t="s">
        <v>59</v>
      </c>
      <c r="E57" s="11">
        <v>20000000</v>
      </c>
      <c r="F57" s="11">
        <v>19707.02</v>
      </c>
      <c r="G57" s="18">
        <v>3.5699999999999996E-2</v>
      </c>
      <c r="I57" s="16"/>
    </row>
    <row r="58" spans="2:9" ht="16.5" x14ac:dyDescent="0.35">
      <c r="B58" s="9" t="s">
        <v>100</v>
      </c>
      <c r="C58" s="9" t="s">
        <v>101</v>
      </c>
      <c r="D58" s="10" t="s">
        <v>94</v>
      </c>
      <c r="E58" s="11">
        <v>10000000</v>
      </c>
      <c r="F58" s="11">
        <v>9954.0300000000007</v>
      </c>
      <c r="G58" s="18">
        <v>1.8100000000000002E-2</v>
      </c>
      <c r="I58" s="16"/>
    </row>
    <row r="59" spans="2:9" ht="16.5" x14ac:dyDescent="0.35">
      <c r="B59" s="9" t="s">
        <v>102</v>
      </c>
      <c r="C59" s="9" t="s">
        <v>103</v>
      </c>
      <c r="D59" s="10" t="s">
        <v>59</v>
      </c>
      <c r="E59" s="11">
        <v>10000000</v>
      </c>
      <c r="F59" s="11">
        <v>9944.94</v>
      </c>
      <c r="G59" s="18">
        <v>1.8000000000000002E-2</v>
      </c>
      <c r="I59" s="16"/>
    </row>
    <row r="60" spans="2:9" ht="16.5" x14ac:dyDescent="0.35">
      <c r="B60" s="9" t="s">
        <v>104</v>
      </c>
      <c r="C60" s="9" t="s">
        <v>99</v>
      </c>
      <c r="D60" s="10" t="s">
        <v>59</v>
      </c>
      <c r="E60" s="11">
        <v>10000000</v>
      </c>
      <c r="F60" s="11">
        <v>9941.42</v>
      </c>
      <c r="G60" s="18">
        <v>1.8000000000000002E-2</v>
      </c>
      <c r="I60" s="16"/>
    </row>
    <row r="61" spans="2:9" ht="16.5" x14ac:dyDescent="0.35">
      <c r="B61" s="9" t="s">
        <v>105</v>
      </c>
      <c r="C61" s="9" t="s">
        <v>106</v>
      </c>
      <c r="D61" s="9" t="s">
        <v>51</v>
      </c>
      <c r="E61" s="11">
        <v>10000000</v>
      </c>
      <c r="F61" s="11">
        <v>9911.6299999999992</v>
      </c>
      <c r="G61" s="18">
        <v>1.8000000000000002E-2</v>
      </c>
      <c r="I61" s="16"/>
    </row>
    <row r="62" spans="2:9" ht="16.5" x14ac:dyDescent="0.35">
      <c r="B62" s="9" t="s">
        <v>107</v>
      </c>
      <c r="C62" s="9" t="s">
        <v>103</v>
      </c>
      <c r="D62" s="10" t="s">
        <v>59</v>
      </c>
      <c r="E62" s="11">
        <v>7500000</v>
      </c>
      <c r="F62" s="11">
        <v>7453.88</v>
      </c>
      <c r="G62" s="18">
        <v>1.3500000000000002E-2</v>
      </c>
      <c r="I62" s="16"/>
    </row>
    <row r="63" spans="2:9" ht="16.5" x14ac:dyDescent="0.35">
      <c r="B63" s="9" t="s">
        <v>108</v>
      </c>
      <c r="C63" s="9" t="s">
        <v>109</v>
      </c>
      <c r="D63" s="10" t="s">
        <v>94</v>
      </c>
      <c r="E63" s="11">
        <v>7500000</v>
      </c>
      <c r="F63" s="11">
        <v>7431.89</v>
      </c>
      <c r="G63" s="18">
        <v>1.3500000000000002E-2</v>
      </c>
      <c r="I63" s="16"/>
    </row>
    <row r="64" spans="2:9" ht="16.5" x14ac:dyDescent="0.35">
      <c r="B64" s="9" t="s">
        <v>110</v>
      </c>
      <c r="C64" s="9" t="s">
        <v>106</v>
      </c>
      <c r="D64" s="10" t="s">
        <v>51</v>
      </c>
      <c r="E64" s="11">
        <v>6500000</v>
      </c>
      <c r="F64" s="11">
        <v>6476.95</v>
      </c>
      <c r="G64" s="18">
        <v>1.1699999999999999E-2</v>
      </c>
      <c r="I64" s="16"/>
    </row>
    <row r="65" spans="2:9" ht="16.5" x14ac:dyDescent="0.35">
      <c r="B65" s="9" t="s">
        <v>111</v>
      </c>
      <c r="C65" s="9" t="s">
        <v>103</v>
      </c>
      <c r="D65" s="10" t="s">
        <v>59</v>
      </c>
      <c r="E65" s="11">
        <v>6500000</v>
      </c>
      <c r="F65" s="11">
        <v>6468.72</v>
      </c>
      <c r="G65" s="18">
        <v>1.1699999999999999E-2</v>
      </c>
      <c r="I65" s="16"/>
    </row>
    <row r="66" spans="2:9" ht="16.5" x14ac:dyDescent="0.35">
      <c r="B66" s="9" t="s">
        <v>112</v>
      </c>
      <c r="C66" s="9" t="s">
        <v>113</v>
      </c>
      <c r="D66" s="9" t="s">
        <v>51</v>
      </c>
      <c r="E66" s="11">
        <v>5000000</v>
      </c>
      <c r="F66" s="11">
        <v>4993.25</v>
      </c>
      <c r="G66" s="18">
        <v>9.1000000000000004E-3</v>
      </c>
      <c r="I66" s="16"/>
    </row>
    <row r="67" spans="2:9" ht="16.5" x14ac:dyDescent="0.35">
      <c r="B67" s="9" t="s">
        <v>114</v>
      </c>
      <c r="C67" s="9" t="s">
        <v>115</v>
      </c>
      <c r="D67" s="10" t="s">
        <v>51</v>
      </c>
      <c r="E67" s="11">
        <v>5000000</v>
      </c>
      <c r="F67" s="11">
        <v>4981.22</v>
      </c>
      <c r="G67" s="18">
        <v>9.0000000000000011E-3</v>
      </c>
      <c r="I67" s="16"/>
    </row>
    <row r="68" spans="2:9" ht="16.5" x14ac:dyDescent="0.35">
      <c r="B68" s="9" t="s">
        <v>116</v>
      </c>
      <c r="C68" s="9" t="s">
        <v>63</v>
      </c>
      <c r="D68" s="9" t="s">
        <v>94</v>
      </c>
      <c r="E68" s="11">
        <v>5000000</v>
      </c>
      <c r="F68" s="11">
        <v>4979.34</v>
      </c>
      <c r="G68" s="18">
        <v>9.0000000000000011E-3</v>
      </c>
      <c r="I68" s="16"/>
    </row>
    <row r="69" spans="2:9" ht="16.5" x14ac:dyDescent="0.35">
      <c r="B69" s="9" t="s">
        <v>117</v>
      </c>
      <c r="C69" s="9" t="s">
        <v>106</v>
      </c>
      <c r="D69" s="10" t="s">
        <v>51</v>
      </c>
      <c r="E69" s="11">
        <v>5000000</v>
      </c>
      <c r="F69" s="11">
        <v>4968.1000000000004</v>
      </c>
      <c r="G69" s="18">
        <v>9.0000000000000011E-3</v>
      </c>
      <c r="I69" s="16"/>
    </row>
    <row r="70" spans="2:9" ht="16.5" x14ac:dyDescent="0.35">
      <c r="B70" s="9" t="s">
        <v>118</v>
      </c>
      <c r="C70" s="9" t="s">
        <v>109</v>
      </c>
      <c r="D70" s="10" t="s">
        <v>94</v>
      </c>
      <c r="E70" s="11">
        <v>5000000</v>
      </c>
      <c r="F70" s="11">
        <v>4963.6099999999997</v>
      </c>
      <c r="G70" s="18">
        <v>9.0000000000000011E-3</v>
      </c>
      <c r="I70" s="16"/>
    </row>
    <row r="71" spans="2:9" ht="16.5" x14ac:dyDescent="0.35">
      <c r="B71" s="9" t="s">
        <v>119</v>
      </c>
      <c r="C71" s="9" t="s">
        <v>109</v>
      </c>
      <c r="D71" s="10" t="s">
        <v>94</v>
      </c>
      <c r="E71" s="11">
        <v>5000000</v>
      </c>
      <c r="F71" s="11">
        <v>4959.8900000000003</v>
      </c>
      <c r="G71" s="18">
        <v>9.0000000000000011E-3</v>
      </c>
      <c r="I71" s="16"/>
    </row>
    <row r="72" spans="2:9" ht="16.5" x14ac:dyDescent="0.35">
      <c r="B72" s="9" t="s">
        <v>120</v>
      </c>
      <c r="C72" s="9" t="s">
        <v>121</v>
      </c>
      <c r="D72" s="9" t="s">
        <v>59</v>
      </c>
      <c r="E72" s="11">
        <v>5000000</v>
      </c>
      <c r="F72" s="11">
        <v>4957.87</v>
      </c>
      <c r="G72" s="18">
        <v>9.0000000000000011E-3</v>
      </c>
      <c r="I72" s="16"/>
    </row>
    <row r="73" spans="2:9" ht="16.5" x14ac:dyDescent="0.35">
      <c r="B73" s="9" t="s">
        <v>122</v>
      </c>
      <c r="C73" s="9" t="s">
        <v>101</v>
      </c>
      <c r="D73" s="10" t="s">
        <v>94</v>
      </c>
      <c r="E73" s="11">
        <v>5000000</v>
      </c>
      <c r="F73" s="11">
        <v>4950.1400000000003</v>
      </c>
      <c r="G73" s="18">
        <v>9.0000000000000011E-3</v>
      </c>
      <c r="I73" s="16"/>
    </row>
    <row r="74" spans="2:9" ht="16.5" x14ac:dyDescent="0.35">
      <c r="B74" s="9" t="s">
        <v>123</v>
      </c>
      <c r="C74" s="9" t="s">
        <v>109</v>
      </c>
      <c r="D74" s="10" t="s">
        <v>94</v>
      </c>
      <c r="E74" s="11">
        <v>2500000</v>
      </c>
      <c r="F74" s="11">
        <v>2478.37</v>
      </c>
      <c r="G74" s="18">
        <v>4.5000000000000005E-3</v>
      </c>
      <c r="I74" s="16"/>
    </row>
    <row r="75" spans="2:9" ht="16.5" x14ac:dyDescent="0.35">
      <c r="B75" s="9" t="s">
        <v>124</v>
      </c>
      <c r="C75" s="9" t="s">
        <v>99</v>
      </c>
      <c r="D75" s="10" t="s">
        <v>59</v>
      </c>
      <c r="E75" s="11">
        <v>1000000</v>
      </c>
      <c r="F75" s="11">
        <v>999.82</v>
      </c>
      <c r="G75" s="18">
        <v>1.8E-3</v>
      </c>
      <c r="I75" s="16"/>
    </row>
    <row r="76" spans="2:9" ht="16.5" x14ac:dyDescent="0.35">
      <c r="B76" s="9" t="s">
        <v>125</v>
      </c>
      <c r="C76" s="9" t="s">
        <v>115</v>
      </c>
      <c r="D76" s="10" t="s">
        <v>51</v>
      </c>
      <c r="E76" s="11">
        <v>500000</v>
      </c>
      <c r="F76" s="11">
        <v>499.23</v>
      </c>
      <c r="G76" s="18">
        <v>8.9999999999999998E-4</v>
      </c>
      <c r="I76" s="16"/>
    </row>
    <row r="77" spans="2:9" ht="16.5" x14ac:dyDescent="0.35">
      <c r="B77" s="9" t="s">
        <v>126</v>
      </c>
      <c r="C77" s="9" t="s">
        <v>127</v>
      </c>
      <c r="D77" s="10" t="s">
        <v>59</v>
      </c>
      <c r="E77" s="11">
        <v>500000</v>
      </c>
      <c r="F77" s="11">
        <v>498.14</v>
      </c>
      <c r="G77" s="18">
        <v>8.9999999999999998E-4</v>
      </c>
      <c r="I77" s="16"/>
    </row>
    <row r="78" spans="2:9" ht="16.5" x14ac:dyDescent="0.35">
      <c r="B78" s="9" t="s">
        <v>128</v>
      </c>
      <c r="C78" s="9" t="s">
        <v>129</v>
      </c>
      <c r="D78" s="10" t="s">
        <v>59</v>
      </c>
      <c r="E78" s="11">
        <v>500000</v>
      </c>
      <c r="F78" s="11">
        <v>497.97</v>
      </c>
      <c r="G78" s="18">
        <v>8.9999999999999998E-4</v>
      </c>
      <c r="I78" s="16"/>
    </row>
    <row r="79" spans="2:9" ht="16.5" x14ac:dyDescent="0.35">
      <c r="B79" s="9" t="s">
        <v>0</v>
      </c>
      <c r="C79" s="9" t="s">
        <v>90</v>
      </c>
      <c r="D79" s="9" t="s">
        <v>0</v>
      </c>
      <c r="E79" s="10"/>
      <c r="F79" s="11">
        <f>SUM(F54:F78)</f>
        <v>199027.12000000008</v>
      </c>
      <c r="G79" s="18">
        <v>0.36080000000000001</v>
      </c>
      <c r="I79" s="16"/>
    </row>
    <row r="80" spans="2:9" ht="16.5" x14ac:dyDescent="0.35">
      <c r="B80" s="9" t="s">
        <v>0</v>
      </c>
      <c r="C80" s="9" t="s">
        <v>130</v>
      </c>
      <c r="D80" s="9" t="s">
        <v>0</v>
      </c>
      <c r="E80" s="10"/>
      <c r="F80" s="10"/>
      <c r="G80" s="18"/>
      <c r="I80" s="16"/>
    </row>
    <row r="81" spans="2:9" ht="16.5" x14ac:dyDescent="0.35">
      <c r="B81" s="9" t="s">
        <v>131</v>
      </c>
      <c r="C81" s="9" t="s">
        <v>132</v>
      </c>
      <c r="D81" s="10" t="s">
        <v>489</v>
      </c>
      <c r="E81" s="11">
        <v>36583200</v>
      </c>
      <c r="F81" s="11">
        <v>36057.32</v>
      </c>
      <c r="G81" s="18">
        <v>6.54E-2</v>
      </c>
      <c r="I81" s="16"/>
    </row>
    <row r="82" spans="2:9" ht="16.5" x14ac:dyDescent="0.35">
      <c r="B82" s="9" t="s">
        <v>133</v>
      </c>
      <c r="C82" s="9" t="s">
        <v>134</v>
      </c>
      <c r="D82" s="10" t="s">
        <v>489</v>
      </c>
      <c r="E82" s="11">
        <v>20000000</v>
      </c>
      <c r="F82" s="11">
        <v>19970.48</v>
      </c>
      <c r="G82" s="18">
        <v>3.6200000000000003E-2</v>
      </c>
      <c r="I82" s="16"/>
    </row>
    <row r="83" spans="2:9" ht="16.5" x14ac:dyDescent="0.35">
      <c r="B83" s="9" t="s">
        <v>135</v>
      </c>
      <c r="C83" s="9" t="s">
        <v>136</v>
      </c>
      <c r="D83" s="10" t="s">
        <v>489</v>
      </c>
      <c r="E83" s="11">
        <v>5000000</v>
      </c>
      <c r="F83" s="11">
        <v>4975.59</v>
      </c>
      <c r="G83" s="18">
        <v>9.0000000000000011E-3</v>
      </c>
      <c r="I83" s="16"/>
    </row>
    <row r="84" spans="2:9" ht="16.5" x14ac:dyDescent="0.35">
      <c r="B84" s="9" t="s">
        <v>137</v>
      </c>
      <c r="C84" s="9" t="s">
        <v>138</v>
      </c>
      <c r="D84" s="10" t="s">
        <v>489</v>
      </c>
      <c r="E84" s="11">
        <v>3934600</v>
      </c>
      <c r="F84" s="11">
        <v>3910.9</v>
      </c>
      <c r="G84" s="18">
        <v>7.0999999999999995E-3</v>
      </c>
      <c r="I84" s="16"/>
    </row>
    <row r="85" spans="2:9" ht="16.5" x14ac:dyDescent="0.35">
      <c r="B85" s="9" t="s">
        <v>0</v>
      </c>
      <c r="C85" s="9" t="s">
        <v>90</v>
      </c>
      <c r="D85" s="9" t="s">
        <v>0</v>
      </c>
      <c r="E85" s="10"/>
      <c r="F85" s="11">
        <f>SUM(F81:F84)</f>
        <v>64914.29</v>
      </c>
      <c r="G85" s="18">
        <v>0.1177</v>
      </c>
      <c r="I85" s="16"/>
    </row>
    <row r="86" spans="2:9" ht="16.5" x14ac:dyDescent="0.35">
      <c r="B86" s="9" t="s">
        <v>0</v>
      </c>
      <c r="C86" s="9" t="s">
        <v>139</v>
      </c>
      <c r="D86" s="9" t="s">
        <v>0</v>
      </c>
      <c r="E86" s="10"/>
      <c r="F86" s="10"/>
      <c r="G86" s="18"/>
      <c r="I86" s="16"/>
    </row>
    <row r="87" spans="2:9" ht="16.5" x14ac:dyDescent="0.35">
      <c r="B87" s="9" t="s">
        <v>140</v>
      </c>
      <c r="C87" s="9" t="s">
        <v>66</v>
      </c>
      <c r="D87" s="10" t="s">
        <v>180</v>
      </c>
      <c r="E87" s="11">
        <v>10000000</v>
      </c>
      <c r="F87" s="11">
        <v>10093.290000000001</v>
      </c>
      <c r="G87" s="18">
        <v>1.83E-2</v>
      </c>
      <c r="I87" s="16"/>
    </row>
    <row r="88" spans="2:9" ht="16.5" x14ac:dyDescent="0.35">
      <c r="B88" s="9" t="s">
        <v>141</v>
      </c>
      <c r="C88" s="9" t="s">
        <v>142</v>
      </c>
      <c r="D88" s="10" t="s">
        <v>496</v>
      </c>
      <c r="E88" s="11">
        <v>1500000</v>
      </c>
      <c r="F88" s="11">
        <v>1500.52</v>
      </c>
      <c r="G88" s="18">
        <v>2.7000000000000001E-3</v>
      </c>
      <c r="I88" s="16"/>
    </row>
    <row r="89" spans="2:9" ht="16.5" x14ac:dyDescent="0.35">
      <c r="B89" s="9" t="s">
        <v>143</v>
      </c>
      <c r="C89" s="9" t="s">
        <v>144</v>
      </c>
      <c r="D89" s="10" t="s">
        <v>146</v>
      </c>
      <c r="E89" s="11">
        <v>1000000</v>
      </c>
      <c r="F89" s="11">
        <v>1000.81</v>
      </c>
      <c r="G89" s="18">
        <v>1.8E-3</v>
      </c>
      <c r="I89" s="16"/>
    </row>
    <row r="90" spans="2:9" ht="16.5" x14ac:dyDescent="0.35">
      <c r="B90" s="9" t="s">
        <v>145</v>
      </c>
      <c r="C90" s="9" t="s">
        <v>54</v>
      </c>
      <c r="D90" s="9" t="s">
        <v>146</v>
      </c>
      <c r="E90" s="11">
        <v>1000000</v>
      </c>
      <c r="F90" s="11">
        <v>1000.41</v>
      </c>
      <c r="G90" s="18">
        <v>1.8E-3</v>
      </c>
      <c r="I90" s="16"/>
    </row>
    <row r="91" spans="2:9" ht="16.5" x14ac:dyDescent="0.35">
      <c r="B91" s="9" t="s">
        <v>147</v>
      </c>
      <c r="C91" s="9" t="s">
        <v>16</v>
      </c>
      <c r="D91" s="9" t="s">
        <v>490</v>
      </c>
      <c r="E91" s="11">
        <v>800000</v>
      </c>
      <c r="F91" s="11">
        <v>800.59</v>
      </c>
      <c r="G91" s="18">
        <v>1.5E-3</v>
      </c>
      <c r="I91" s="16"/>
    </row>
    <row r="92" spans="2:9" ht="16.5" x14ac:dyDescent="0.35">
      <c r="B92" s="9" t="s">
        <v>148</v>
      </c>
      <c r="C92" s="9" t="s">
        <v>149</v>
      </c>
      <c r="D92" s="10" t="s">
        <v>497</v>
      </c>
      <c r="E92" s="11">
        <v>500000</v>
      </c>
      <c r="F92" s="11">
        <v>500.46</v>
      </c>
      <c r="G92" s="18">
        <v>8.9999999999999998E-4</v>
      </c>
      <c r="I92" s="16"/>
    </row>
    <row r="93" spans="2:9" ht="16.5" x14ac:dyDescent="0.35">
      <c r="B93" s="9" t="s">
        <v>150</v>
      </c>
      <c r="C93" s="9" t="s">
        <v>151</v>
      </c>
      <c r="D93" s="9" t="s">
        <v>146</v>
      </c>
      <c r="E93" s="11">
        <v>500000</v>
      </c>
      <c r="F93" s="11">
        <v>500.34</v>
      </c>
      <c r="G93" s="18">
        <v>8.9999999999999998E-4</v>
      </c>
      <c r="I93" s="16"/>
    </row>
    <row r="94" spans="2:9" ht="16.5" x14ac:dyDescent="0.35">
      <c r="B94" s="9" t="s">
        <v>0</v>
      </c>
      <c r="C94" s="9" t="s">
        <v>90</v>
      </c>
      <c r="D94" s="9" t="s">
        <v>0</v>
      </c>
      <c r="E94" s="10"/>
      <c r="F94" s="11">
        <f>SUM(F87:F93)</f>
        <v>15396.42</v>
      </c>
      <c r="G94" s="18">
        <f>SUM(G87:G93)</f>
        <v>2.7900000000000005E-2</v>
      </c>
      <c r="I94" s="16"/>
    </row>
    <row r="95" spans="2:9" ht="16.5" x14ac:dyDescent="0.35">
      <c r="B95" s="9" t="s">
        <v>0</v>
      </c>
      <c r="C95" s="9" t="s">
        <v>152</v>
      </c>
      <c r="D95" s="9" t="s">
        <v>0</v>
      </c>
      <c r="E95" s="10"/>
      <c r="F95" s="10"/>
      <c r="G95" s="18"/>
      <c r="I95" s="16"/>
    </row>
    <row r="96" spans="2:9" ht="16.5" x14ac:dyDescent="0.35">
      <c r="B96" s="9" t="s">
        <v>153</v>
      </c>
      <c r="C96" s="9" t="s">
        <v>93</v>
      </c>
      <c r="D96" s="10"/>
      <c r="E96" s="9" t="s">
        <v>154</v>
      </c>
      <c r="F96" s="11">
        <v>3000</v>
      </c>
      <c r="G96" s="18">
        <v>5.4000000000000003E-3</v>
      </c>
      <c r="I96" s="16"/>
    </row>
    <row r="97" spans="2:9" ht="16.5" x14ac:dyDescent="0.35">
      <c r="B97" s="9" t="s">
        <v>0</v>
      </c>
      <c r="C97" s="9" t="s">
        <v>90</v>
      </c>
      <c r="D97" s="9" t="s">
        <v>0</v>
      </c>
      <c r="E97" s="9" t="s">
        <v>154</v>
      </c>
      <c r="F97" s="11">
        <f>SUM(F96)</f>
        <v>3000</v>
      </c>
      <c r="G97" s="18">
        <v>5.4000000000000003E-3</v>
      </c>
      <c r="I97" s="16"/>
    </row>
    <row r="98" spans="2:9" ht="16.5" x14ac:dyDescent="0.35">
      <c r="B98" s="10"/>
      <c r="C98" s="9" t="s">
        <v>155</v>
      </c>
      <c r="D98" s="10"/>
      <c r="E98" s="10"/>
      <c r="F98" s="9" t="s">
        <v>0</v>
      </c>
      <c r="G98" s="18"/>
      <c r="I98" s="16"/>
    </row>
    <row r="99" spans="2:9" ht="16.5" x14ac:dyDescent="0.35">
      <c r="B99" s="10"/>
      <c r="C99" s="9" t="s">
        <v>156</v>
      </c>
      <c r="D99" s="10"/>
      <c r="E99" s="10"/>
      <c r="F99" s="11">
        <v>-48878.21</v>
      </c>
      <c r="G99" s="18">
        <v>-8.8400000000000006E-2</v>
      </c>
      <c r="I99" s="16"/>
    </row>
    <row r="100" spans="2:9" ht="16.5" x14ac:dyDescent="0.35">
      <c r="B100" s="10"/>
      <c r="C100" s="9" t="s">
        <v>90</v>
      </c>
      <c r="D100" s="10"/>
      <c r="E100" s="10"/>
      <c r="F100" s="11">
        <f>SUM(F99)</f>
        <v>-48878.21</v>
      </c>
      <c r="G100" s="18">
        <v>-8.8400000000000006E-2</v>
      </c>
      <c r="I100" s="16"/>
    </row>
    <row r="101" spans="2:9" ht="16.5" x14ac:dyDescent="0.35">
      <c r="B101" s="10"/>
      <c r="C101" s="9" t="s">
        <v>157</v>
      </c>
      <c r="D101" s="10"/>
      <c r="E101" s="10"/>
      <c r="F101" s="11">
        <v>551361.66</v>
      </c>
      <c r="G101" s="18">
        <v>1</v>
      </c>
      <c r="I101" s="16"/>
    </row>
    <row r="102" spans="2:9" x14ac:dyDescent="0.25">
      <c r="B102" s="10"/>
      <c r="C102" s="10"/>
      <c r="D102" s="10"/>
      <c r="E102" s="10"/>
      <c r="F102" s="10"/>
      <c r="G102" s="10"/>
    </row>
    <row r="103" spans="2:9" x14ac:dyDescent="0.25">
      <c r="B103" s="10"/>
      <c r="C103" s="10"/>
      <c r="D103" s="10"/>
      <c r="E103" s="10"/>
      <c r="F103" s="10"/>
      <c r="G103" s="10"/>
    </row>
    <row r="104" spans="2:9" x14ac:dyDescent="0.25">
      <c r="F104" s="15"/>
      <c r="G104" s="17"/>
    </row>
    <row r="106" spans="2:9" x14ac:dyDescent="0.25">
      <c r="C106" s="26" t="s">
        <v>522</v>
      </c>
      <c r="D106" s="26"/>
      <c r="E106" s="26"/>
    </row>
    <row r="107" spans="2:9" x14ac:dyDescent="0.25">
      <c r="C107" s="26" t="s">
        <v>523</v>
      </c>
      <c r="D107" s="26"/>
      <c r="E107" s="26"/>
    </row>
    <row r="108" spans="2:9" x14ac:dyDescent="0.25">
      <c r="C108" s="26" t="s">
        <v>524</v>
      </c>
      <c r="D108" s="26"/>
      <c r="E108" s="26"/>
    </row>
    <row r="110" spans="2:9" x14ac:dyDescent="0.25">
      <c r="C110" s="26" t="s">
        <v>525</v>
      </c>
      <c r="D110" s="26"/>
      <c r="E110" s="26"/>
    </row>
  </sheetData>
  <mergeCells count="1">
    <mergeCell ref="F2:G2"/>
  </mergeCells>
  <pageMargins left="0.78749999999999998" right="0.78749999999999998" top="1.052778" bottom="1.052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8"/>
  <sheetViews>
    <sheetView workbookViewId="0">
      <selection activeCell="J12" sqref="J12"/>
    </sheetView>
  </sheetViews>
  <sheetFormatPr defaultRowHeight="15" x14ac:dyDescent="0.25"/>
  <cols>
    <col min="1" max="1" width="1" customWidth="1"/>
    <col min="2" max="2" width="11.85546875" bestFit="1" customWidth="1"/>
    <col min="3" max="3" width="46.28515625" bestFit="1" customWidth="1"/>
    <col min="4" max="4" width="18" customWidth="1"/>
    <col min="5" max="5" width="11.85546875" bestFit="1" customWidth="1"/>
    <col min="6" max="6" width="11.5703125" bestFit="1" customWidth="1"/>
    <col min="7" max="7" width="9.140625" bestFit="1" customWidth="1"/>
    <col min="8" max="8" width="10.28515625" bestFit="1" customWidth="1"/>
    <col min="9" max="9" width="12.42578125" bestFit="1" customWidth="1"/>
    <col min="10" max="10" width="10.28515625" bestFit="1" customWidth="1"/>
    <col min="11" max="11" width="12.42578125" bestFit="1" customWidth="1"/>
    <col min="12" max="12" width="10.28515625" bestFit="1" customWidth="1"/>
    <col min="13" max="13" width="12.42578125" bestFit="1" customWidth="1"/>
    <col min="14" max="14" width="10.28515625" bestFit="1" customWidth="1"/>
    <col min="15" max="15" width="12.42578125" bestFit="1" customWidth="1"/>
  </cols>
  <sheetData>
    <row r="1" spans="2:9" ht="16.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9" ht="15.75" x14ac:dyDescent="0.25">
      <c r="B2" s="23"/>
      <c r="C2" s="23" t="s">
        <v>518</v>
      </c>
      <c r="D2" s="24"/>
      <c r="E2" s="24"/>
      <c r="F2" s="24"/>
      <c r="G2" s="24"/>
    </row>
    <row r="3" spans="2:9" ht="16.5" x14ac:dyDescent="0.35">
      <c r="C3" s="2" t="s">
        <v>6</v>
      </c>
    </row>
    <row r="4" spans="2:9" ht="39" x14ac:dyDescent="0.25">
      <c r="B4" s="5" t="s">
        <v>7</v>
      </c>
      <c r="C4" s="5" t="s">
        <v>8</v>
      </c>
      <c r="D4" s="6" t="s">
        <v>9</v>
      </c>
      <c r="E4" s="6" t="s">
        <v>10</v>
      </c>
      <c r="F4" s="5" t="s">
        <v>510</v>
      </c>
      <c r="G4" s="7" t="s">
        <v>11</v>
      </c>
    </row>
    <row r="5" spans="2:9" ht="16.5" x14ac:dyDescent="0.35">
      <c r="B5" s="9" t="s">
        <v>0</v>
      </c>
      <c r="C5" s="9" t="s">
        <v>12</v>
      </c>
      <c r="D5" s="9" t="s">
        <v>0</v>
      </c>
      <c r="E5" s="10"/>
      <c r="F5" s="10"/>
      <c r="G5" s="10"/>
    </row>
    <row r="6" spans="2:9" ht="16.5" x14ac:dyDescent="0.35">
      <c r="B6" s="9" t="s">
        <v>158</v>
      </c>
      <c r="C6" s="9" t="s">
        <v>159</v>
      </c>
      <c r="D6" s="19" t="s">
        <v>59</v>
      </c>
      <c r="E6" s="11">
        <v>10000000</v>
      </c>
      <c r="F6" s="11">
        <v>9691.52</v>
      </c>
      <c r="G6" s="18">
        <v>0.1414</v>
      </c>
      <c r="I6" s="17"/>
    </row>
    <row r="7" spans="2:9" ht="16.5" x14ac:dyDescent="0.35">
      <c r="B7" s="9" t="s">
        <v>160</v>
      </c>
      <c r="C7" s="9" t="s">
        <v>61</v>
      </c>
      <c r="D7" s="19" t="s">
        <v>59</v>
      </c>
      <c r="E7" s="11">
        <v>7000000</v>
      </c>
      <c r="F7" s="11">
        <v>6875.86</v>
      </c>
      <c r="G7" s="18">
        <v>0.1003</v>
      </c>
      <c r="I7" s="17"/>
    </row>
    <row r="8" spans="2:9" ht="16.5" x14ac:dyDescent="0.35">
      <c r="B8" s="9" t="s">
        <v>161</v>
      </c>
      <c r="C8" s="9" t="s">
        <v>31</v>
      </c>
      <c r="D8" s="19" t="s">
        <v>51</v>
      </c>
      <c r="E8" s="11">
        <v>4500000</v>
      </c>
      <c r="F8" s="11">
        <v>4464.2700000000004</v>
      </c>
      <c r="G8" s="18">
        <v>6.5099999999999991E-2</v>
      </c>
      <c r="I8" s="17"/>
    </row>
    <row r="9" spans="2:9" ht="16.5" x14ac:dyDescent="0.35">
      <c r="B9" s="9" t="s">
        <v>15</v>
      </c>
      <c r="C9" s="9" t="s">
        <v>16</v>
      </c>
      <c r="D9" s="19" t="s">
        <v>488</v>
      </c>
      <c r="E9" s="11">
        <v>3800000</v>
      </c>
      <c r="F9" s="11">
        <v>3789.76</v>
      </c>
      <c r="G9" s="18">
        <v>5.5300000000000002E-2</v>
      </c>
      <c r="I9" s="17"/>
    </row>
    <row r="10" spans="2:9" ht="16.5" x14ac:dyDescent="0.35">
      <c r="B10" s="9" t="s">
        <v>162</v>
      </c>
      <c r="C10" s="9" t="s">
        <v>78</v>
      </c>
      <c r="D10" s="19" t="s">
        <v>59</v>
      </c>
      <c r="E10" s="11">
        <v>2500000</v>
      </c>
      <c r="F10" s="11">
        <v>2496.92</v>
      </c>
      <c r="G10" s="18">
        <v>3.6400000000000002E-2</v>
      </c>
      <c r="I10" s="17"/>
    </row>
    <row r="11" spans="2:9" ht="16.5" x14ac:dyDescent="0.35">
      <c r="B11" s="9" t="s">
        <v>163</v>
      </c>
      <c r="C11" s="9" t="s">
        <v>164</v>
      </c>
      <c r="D11" s="19" t="s">
        <v>491</v>
      </c>
      <c r="E11" s="11">
        <v>2500000</v>
      </c>
      <c r="F11" s="11">
        <v>2493.4299999999998</v>
      </c>
      <c r="G11" s="18">
        <v>3.6400000000000002E-2</v>
      </c>
      <c r="I11" s="17"/>
    </row>
    <row r="12" spans="2:9" ht="16.5" x14ac:dyDescent="0.35">
      <c r="B12" s="9" t="s">
        <v>76</v>
      </c>
      <c r="C12" s="9" t="s">
        <v>75</v>
      </c>
      <c r="D12" s="19" t="s">
        <v>51</v>
      </c>
      <c r="E12" s="11">
        <v>2500000</v>
      </c>
      <c r="F12" s="11">
        <v>2483.7600000000002</v>
      </c>
      <c r="G12" s="18">
        <v>3.6200000000000003E-2</v>
      </c>
      <c r="I12" s="17"/>
    </row>
    <row r="13" spans="2:9" ht="16.5" x14ac:dyDescent="0.35">
      <c r="B13" s="9" t="s">
        <v>165</v>
      </c>
      <c r="C13" s="9" t="s">
        <v>78</v>
      </c>
      <c r="D13" s="19" t="s">
        <v>59</v>
      </c>
      <c r="E13" s="11">
        <v>2000000</v>
      </c>
      <c r="F13" s="11">
        <v>1995.88</v>
      </c>
      <c r="G13" s="18">
        <v>2.9100000000000001E-2</v>
      </c>
      <c r="I13" s="17"/>
    </row>
    <row r="14" spans="2:9" ht="16.5" x14ac:dyDescent="0.35">
      <c r="B14" s="9" t="s">
        <v>166</v>
      </c>
      <c r="C14" s="9" t="s">
        <v>78</v>
      </c>
      <c r="D14" s="19" t="s">
        <v>59</v>
      </c>
      <c r="E14" s="11">
        <v>2000000</v>
      </c>
      <c r="F14" s="11">
        <v>1994.65</v>
      </c>
      <c r="G14" s="18">
        <v>2.9100000000000001E-2</v>
      </c>
      <c r="I14" s="17"/>
    </row>
    <row r="15" spans="2:9" ht="16.5" x14ac:dyDescent="0.35">
      <c r="B15" s="9" t="s">
        <v>167</v>
      </c>
      <c r="C15" s="9" t="s">
        <v>25</v>
      </c>
      <c r="D15" s="19" t="s">
        <v>59</v>
      </c>
      <c r="E15" s="11">
        <v>500000</v>
      </c>
      <c r="F15" s="11">
        <v>499.89</v>
      </c>
      <c r="G15" s="18">
        <v>7.3000000000000001E-3</v>
      </c>
      <c r="I15" s="17"/>
    </row>
    <row r="16" spans="2:9" ht="16.5" x14ac:dyDescent="0.35">
      <c r="B16" s="9" t="s">
        <v>26</v>
      </c>
      <c r="C16" s="9" t="s">
        <v>27</v>
      </c>
      <c r="D16" s="19" t="s">
        <v>51</v>
      </c>
      <c r="E16" s="11">
        <v>500000</v>
      </c>
      <c r="F16" s="11">
        <v>497.42</v>
      </c>
      <c r="G16" s="18">
        <v>7.3000000000000001E-3</v>
      </c>
      <c r="I16" s="17"/>
    </row>
    <row r="17" spans="2:9" ht="16.5" x14ac:dyDescent="0.35">
      <c r="B17" s="9" t="s">
        <v>0</v>
      </c>
      <c r="C17" s="9" t="s">
        <v>90</v>
      </c>
      <c r="D17" s="19"/>
      <c r="E17" s="10"/>
      <c r="F17" s="11">
        <v>37283.360000000001</v>
      </c>
      <c r="G17" s="18">
        <v>0.54390000000000005</v>
      </c>
      <c r="I17" s="17"/>
    </row>
    <row r="18" spans="2:9" ht="16.5" x14ac:dyDescent="0.35">
      <c r="B18" s="9" t="s">
        <v>0</v>
      </c>
      <c r="C18" s="9" t="s">
        <v>91</v>
      </c>
      <c r="D18" s="19"/>
      <c r="E18" s="10"/>
      <c r="F18" s="10"/>
      <c r="G18" s="18"/>
      <c r="I18" s="17"/>
    </row>
    <row r="19" spans="2:9" ht="16.5" x14ac:dyDescent="0.35">
      <c r="B19" s="9" t="s">
        <v>168</v>
      </c>
      <c r="C19" s="9" t="s">
        <v>29</v>
      </c>
      <c r="D19" s="19" t="s">
        <v>51</v>
      </c>
      <c r="E19" s="11">
        <v>9000000</v>
      </c>
      <c r="F19" s="11">
        <v>8837.51</v>
      </c>
      <c r="G19" s="18">
        <v>0.12890000000000001</v>
      </c>
      <c r="I19" s="17"/>
    </row>
    <row r="20" spans="2:9" ht="16.5" x14ac:dyDescent="0.35">
      <c r="B20" s="9" t="s">
        <v>169</v>
      </c>
      <c r="C20" s="9" t="s">
        <v>121</v>
      </c>
      <c r="D20" s="19" t="s">
        <v>59</v>
      </c>
      <c r="E20" s="11">
        <v>5000000</v>
      </c>
      <c r="F20" s="11">
        <v>4925.17</v>
      </c>
      <c r="G20" s="18">
        <v>7.1900000000000006E-2</v>
      </c>
      <c r="I20" s="17"/>
    </row>
    <row r="21" spans="2:9" ht="16.5" x14ac:dyDescent="0.35">
      <c r="B21" s="9" t="s">
        <v>170</v>
      </c>
      <c r="C21" s="9" t="s">
        <v>106</v>
      </c>
      <c r="D21" s="19" t="s">
        <v>51</v>
      </c>
      <c r="E21" s="11">
        <v>2500000</v>
      </c>
      <c r="F21" s="11">
        <v>2347.0100000000002</v>
      </c>
      <c r="G21" s="18">
        <v>3.4200000000000001E-2</v>
      </c>
      <c r="I21" s="17"/>
    </row>
    <row r="22" spans="2:9" ht="16.5" x14ac:dyDescent="0.35">
      <c r="B22" s="9" t="s">
        <v>0</v>
      </c>
      <c r="C22" s="9" t="s">
        <v>90</v>
      </c>
      <c r="D22" s="19"/>
      <c r="E22" s="10"/>
      <c r="F22" s="11">
        <v>16109.69</v>
      </c>
      <c r="G22" s="18">
        <v>0.23499999999999999</v>
      </c>
      <c r="I22" s="17"/>
    </row>
    <row r="23" spans="2:9" ht="16.5" x14ac:dyDescent="0.35">
      <c r="B23" s="9" t="s">
        <v>0</v>
      </c>
      <c r="C23" s="9" t="s">
        <v>139</v>
      </c>
      <c r="D23" s="19"/>
      <c r="E23" s="10"/>
      <c r="F23" s="10"/>
      <c r="G23" s="18"/>
      <c r="I23" s="17"/>
    </row>
    <row r="24" spans="2:9" ht="16.5" x14ac:dyDescent="0.35">
      <c r="B24" s="9" t="s">
        <v>171</v>
      </c>
      <c r="C24" s="9" t="s">
        <v>142</v>
      </c>
      <c r="D24" s="19" t="s">
        <v>492</v>
      </c>
      <c r="E24" s="11">
        <v>6500000</v>
      </c>
      <c r="F24" s="11">
        <v>6515.16</v>
      </c>
      <c r="G24" s="18">
        <v>9.5000000000000001E-2</v>
      </c>
      <c r="I24" s="17"/>
    </row>
    <row r="25" spans="2:9" ht="16.5" x14ac:dyDescent="0.35">
      <c r="B25" s="9" t="s">
        <v>179</v>
      </c>
      <c r="C25" s="9" t="s">
        <v>66</v>
      </c>
      <c r="D25" s="19" t="s">
        <v>180</v>
      </c>
      <c r="E25" s="11">
        <v>1850000</v>
      </c>
      <c r="F25" s="11">
        <v>2834.65</v>
      </c>
      <c r="G25" s="18">
        <v>4.1399999999999999E-2</v>
      </c>
      <c r="I25" s="17"/>
    </row>
    <row r="26" spans="2:9" ht="16.5" x14ac:dyDescent="0.35">
      <c r="B26" s="9" t="s">
        <v>181</v>
      </c>
      <c r="C26" s="9" t="s">
        <v>182</v>
      </c>
      <c r="D26" s="19" t="s">
        <v>146</v>
      </c>
      <c r="E26" s="11">
        <v>1240000</v>
      </c>
      <c r="F26" s="11">
        <v>2394.31</v>
      </c>
      <c r="G26" s="18">
        <v>3.49E-2</v>
      </c>
      <c r="I26" s="17"/>
    </row>
    <row r="27" spans="2:9" ht="16.5" x14ac:dyDescent="0.35">
      <c r="B27" s="9" t="s">
        <v>172</v>
      </c>
      <c r="C27" s="9" t="s">
        <v>173</v>
      </c>
      <c r="D27" s="19" t="s">
        <v>490</v>
      </c>
      <c r="E27" s="11">
        <v>1370000</v>
      </c>
      <c r="F27" s="11">
        <v>1373.65</v>
      </c>
      <c r="G27" s="18">
        <v>0.02</v>
      </c>
      <c r="I27" s="17"/>
    </row>
    <row r="28" spans="2:9" ht="16.5" x14ac:dyDescent="0.35">
      <c r="B28" s="9" t="s">
        <v>174</v>
      </c>
      <c r="C28" s="9" t="s">
        <v>175</v>
      </c>
      <c r="D28" s="19" t="s">
        <v>492</v>
      </c>
      <c r="E28" s="11">
        <v>50</v>
      </c>
      <c r="F28" s="11">
        <v>500.6</v>
      </c>
      <c r="G28" s="18">
        <v>7.3000000000000001E-3</v>
      </c>
      <c r="I28" s="17"/>
    </row>
    <row r="29" spans="2:9" ht="16.5" x14ac:dyDescent="0.35">
      <c r="B29" s="9" t="s">
        <v>176</v>
      </c>
      <c r="C29" s="9" t="s">
        <v>173</v>
      </c>
      <c r="D29" s="19" t="s">
        <v>490</v>
      </c>
      <c r="E29" s="11">
        <v>500000</v>
      </c>
      <c r="F29" s="11">
        <v>500.23</v>
      </c>
      <c r="G29" s="18">
        <v>7.3000000000000001E-3</v>
      </c>
      <c r="I29" s="17"/>
    </row>
    <row r="30" spans="2:9" ht="16.5" x14ac:dyDescent="0.35">
      <c r="B30" s="9" t="s">
        <v>184</v>
      </c>
      <c r="C30" s="9" t="s">
        <v>50</v>
      </c>
      <c r="D30" s="19" t="s">
        <v>146</v>
      </c>
      <c r="E30" s="11">
        <v>190000</v>
      </c>
      <c r="F30" s="11">
        <v>192.01</v>
      </c>
      <c r="G30" s="18">
        <v>2.8000000000000004E-3</v>
      </c>
      <c r="I30" s="17"/>
    </row>
    <row r="31" spans="2:9" ht="16.5" x14ac:dyDescent="0.35">
      <c r="B31" s="9" t="s">
        <v>177</v>
      </c>
      <c r="C31" s="9" t="s">
        <v>178</v>
      </c>
      <c r="D31" s="19" t="s">
        <v>146</v>
      </c>
      <c r="E31" s="11">
        <v>150000</v>
      </c>
      <c r="F31" s="11">
        <v>152.15</v>
      </c>
      <c r="G31" s="18">
        <v>2.2000000000000001E-3</v>
      </c>
      <c r="I31" s="17"/>
    </row>
    <row r="32" spans="2:9" ht="16.5" x14ac:dyDescent="0.35">
      <c r="B32" s="9" t="s">
        <v>0</v>
      </c>
      <c r="C32" s="9" t="s">
        <v>90</v>
      </c>
      <c r="D32" s="19"/>
      <c r="E32" s="10"/>
      <c r="F32" s="11">
        <f>SUM(F24:F31)</f>
        <v>14462.759999999998</v>
      </c>
      <c r="G32" s="18">
        <f>SUM(G24:G31)</f>
        <v>0.2109</v>
      </c>
      <c r="I32" s="17"/>
    </row>
    <row r="33" spans="2:9" ht="16.5" x14ac:dyDescent="0.35">
      <c r="B33" s="9" t="s">
        <v>0</v>
      </c>
      <c r="C33" s="9" t="s">
        <v>185</v>
      </c>
      <c r="D33" s="19"/>
      <c r="E33" s="10"/>
      <c r="F33" s="10"/>
      <c r="G33" s="18"/>
      <c r="I33" s="17"/>
    </row>
    <row r="34" spans="2:9" ht="16.5" x14ac:dyDescent="0.35">
      <c r="B34" s="9" t="s">
        <v>154</v>
      </c>
      <c r="C34" s="9" t="s">
        <v>186</v>
      </c>
      <c r="D34" s="10"/>
      <c r="E34" s="9" t="s">
        <v>154</v>
      </c>
      <c r="F34" s="11">
        <v>70.489999999999995</v>
      </c>
      <c r="G34" s="18">
        <v>1E-3</v>
      </c>
      <c r="I34" s="17"/>
    </row>
    <row r="35" spans="2:9" ht="16.5" x14ac:dyDescent="0.35">
      <c r="B35" s="9" t="s">
        <v>0</v>
      </c>
      <c r="C35" s="9" t="s">
        <v>90</v>
      </c>
      <c r="D35" s="9" t="s">
        <v>0</v>
      </c>
      <c r="E35" s="9" t="s">
        <v>154</v>
      </c>
      <c r="F35" s="11">
        <v>70.489999999999995</v>
      </c>
      <c r="G35" s="18">
        <v>1E-3</v>
      </c>
      <c r="I35" s="17"/>
    </row>
    <row r="36" spans="2:9" ht="16.5" x14ac:dyDescent="0.35">
      <c r="B36" s="10"/>
      <c r="C36" s="9" t="s">
        <v>155</v>
      </c>
      <c r="D36" s="10"/>
      <c r="E36" s="10"/>
      <c r="F36" s="9" t="s">
        <v>0</v>
      </c>
      <c r="G36" s="18"/>
      <c r="I36" s="17"/>
    </row>
    <row r="37" spans="2:9" ht="16.5" x14ac:dyDescent="0.35">
      <c r="B37" s="10"/>
      <c r="C37" s="9" t="s">
        <v>156</v>
      </c>
      <c r="D37" s="10"/>
      <c r="E37" s="10"/>
      <c r="F37" s="11">
        <v>618.44000000000005</v>
      </c>
      <c r="G37" s="18">
        <v>9.1999999999999998E-3</v>
      </c>
      <c r="I37" s="17"/>
    </row>
    <row r="38" spans="2:9" ht="16.5" x14ac:dyDescent="0.35">
      <c r="B38" s="10"/>
      <c r="C38" s="9" t="s">
        <v>90</v>
      </c>
      <c r="D38" s="10"/>
      <c r="E38" s="10"/>
      <c r="F38" s="11">
        <v>618.44000000000005</v>
      </c>
      <c r="G38" s="18">
        <v>9.1999999999999998E-3</v>
      </c>
      <c r="I38" s="17"/>
    </row>
    <row r="39" spans="2:9" ht="16.5" x14ac:dyDescent="0.35">
      <c r="B39" s="10"/>
      <c r="C39" s="9" t="s">
        <v>157</v>
      </c>
      <c r="D39" s="10"/>
      <c r="E39" s="10"/>
      <c r="F39" s="11">
        <v>68544.740000000005</v>
      </c>
      <c r="G39" s="18">
        <v>1</v>
      </c>
      <c r="I39" s="17"/>
    </row>
    <row r="40" spans="2:9" x14ac:dyDescent="0.25">
      <c r="G40" s="16"/>
    </row>
    <row r="41" spans="2:9" x14ac:dyDescent="0.25">
      <c r="F41" s="15"/>
      <c r="G41" s="16"/>
    </row>
    <row r="42" spans="2:9" x14ac:dyDescent="0.25">
      <c r="C42" s="27" t="s">
        <v>522</v>
      </c>
      <c r="D42" s="27"/>
      <c r="E42" s="27"/>
      <c r="G42" s="16"/>
    </row>
    <row r="43" spans="2:9" x14ac:dyDescent="0.25">
      <c r="C43" s="27" t="s">
        <v>523</v>
      </c>
      <c r="D43" s="27"/>
      <c r="E43" s="27"/>
      <c r="G43" s="16"/>
    </row>
    <row r="44" spans="2:9" x14ac:dyDescent="0.25">
      <c r="C44" s="27" t="s">
        <v>524</v>
      </c>
      <c r="D44" s="27"/>
      <c r="E44" s="27"/>
      <c r="G44" s="16"/>
    </row>
    <row r="45" spans="2:9" x14ac:dyDescent="0.25">
      <c r="C45" s="27"/>
      <c r="D45" s="27"/>
      <c r="E45" s="27"/>
      <c r="G45" s="16"/>
    </row>
    <row r="46" spans="2:9" x14ac:dyDescent="0.25">
      <c r="C46" s="27" t="s">
        <v>525</v>
      </c>
      <c r="D46" s="27"/>
      <c r="E46" s="27"/>
      <c r="G46" s="16"/>
    </row>
    <row r="47" spans="2:9" x14ac:dyDescent="0.25">
      <c r="G47" s="16"/>
    </row>
    <row r="48" spans="2:9" x14ac:dyDescent="0.25">
      <c r="G48" s="16"/>
    </row>
  </sheetData>
  <pageMargins left="0.78749999999999998" right="0.78749999999999998" top="1.052778" bottom="1.052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7"/>
  <sheetViews>
    <sheetView workbookViewId="0">
      <selection activeCell="C43" sqref="C43:F47"/>
    </sheetView>
  </sheetViews>
  <sheetFormatPr defaultRowHeight="15" x14ac:dyDescent="0.25"/>
  <cols>
    <col min="1" max="1" width="1" customWidth="1"/>
    <col min="2" max="2" width="11.85546875" bestFit="1" customWidth="1"/>
    <col min="3" max="3" width="46.28515625" bestFit="1" customWidth="1"/>
    <col min="4" max="4" width="14.7109375" customWidth="1"/>
    <col min="5" max="5" width="10.42578125" bestFit="1" customWidth="1"/>
    <col min="6" max="6" width="11.5703125" bestFit="1" customWidth="1"/>
    <col min="7" max="7" width="8.85546875" bestFit="1" customWidth="1"/>
    <col min="8" max="8" width="10.28515625" bestFit="1" customWidth="1"/>
    <col min="9" max="9" width="12.42578125" bestFit="1" customWidth="1"/>
    <col min="10" max="10" width="10.28515625" bestFit="1" customWidth="1"/>
    <col min="11" max="11" width="12.42578125" bestFit="1" customWidth="1"/>
    <col min="12" max="12" width="10.28515625" bestFit="1" customWidth="1"/>
    <col min="13" max="13" width="12.42578125" bestFit="1" customWidth="1"/>
    <col min="14" max="14" width="10.28515625" bestFit="1" customWidth="1"/>
    <col min="15" max="15" width="12.42578125" bestFit="1" customWidth="1"/>
  </cols>
  <sheetData>
    <row r="1" spans="2:9" ht="16.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9" ht="15.75" x14ac:dyDescent="0.25">
      <c r="B2" s="3"/>
      <c r="C2" s="22" t="s">
        <v>360</v>
      </c>
      <c r="D2" s="12"/>
      <c r="E2" s="37"/>
      <c r="F2" s="37"/>
      <c r="G2" s="37"/>
    </row>
    <row r="3" spans="2:9" ht="16.5" x14ac:dyDescent="0.35">
      <c r="C3" s="2" t="s">
        <v>6</v>
      </c>
    </row>
    <row r="4" spans="2:9" ht="39" x14ac:dyDescent="0.25">
      <c r="B4" s="5" t="s">
        <v>7</v>
      </c>
      <c r="C4" s="6" t="s">
        <v>8</v>
      </c>
      <c r="D4" s="6" t="s">
        <v>9</v>
      </c>
      <c r="E4" s="5" t="s">
        <v>10</v>
      </c>
      <c r="F4" s="7" t="s">
        <v>510</v>
      </c>
      <c r="G4" s="8" t="s">
        <v>11</v>
      </c>
    </row>
    <row r="5" spans="2:9" ht="16.5" x14ac:dyDescent="0.35">
      <c r="B5" s="9" t="s">
        <v>0</v>
      </c>
      <c r="C5" s="9" t="s">
        <v>139</v>
      </c>
      <c r="D5" s="9" t="s">
        <v>0</v>
      </c>
      <c r="E5" s="10"/>
      <c r="F5" s="10"/>
      <c r="G5" s="10"/>
    </row>
    <row r="6" spans="2:9" ht="16.5" x14ac:dyDescent="0.35">
      <c r="B6" s="9" t="s">
        <v>361</v>
      </c>
      <c r="C6" s="9" t="s">
        <v>362</v>
      </c>
      <c r="D6" s="18" t="s">
        <v>511</v>
      </c>
      <c r="E6" s="11">
        <v>2000000</v>
      </c>
      <c r="F6" s="11">
        <v>2367.8200000000002</v>
      </c>
      <c r="G6" s="18">
        <v>0.12869999999999998</v>
      </c>
      <c r="I6" s="16"/>
    </row>
    <row r="7" spans="2:9" ht="16.5" x14ac:dyDescent="0.35">
      <c r="B7" s="9" t="s">
        <v>363</v>
      </c>
      <c r="C7" s="9" t="s">
        <v>364</v>
      </c>
      <c r="D7" s="18" t="s">
        <v>512</v>
      </c>
      <c r="E7" s="11">
        <v>2300000</v>
      </c>
      <c r="F7" s="11">
        <v>2281.69</v>
      </c>
      <c r="G7" s="18">
        <v>0.124</v>
      </c>
      <c r="I7" s="16"/>
    </row>
    <row r="8" spans="2:9" ht="16.5" x14ac:dyDescent="0.35">
      <c r="B8" s="9" t="s">
        <v>365</v>
      </c>
      <c r="C8" s="9" t="s">
        <v>366</v>
      </c>
      <c r="D8" s="18" t="s">
        <v>513</v>
      </c>
      <c r="E8" s="11">
        <v>1500000</v>
      </c>
      <c r="F8" s="11">
        <v>1485.47</v>
      </c>
      <c r="G8" s="18">
        <v>8.0799999999999997E-2</v>
      </c>
      <c r="I8" s="16"/>
    </row>
    <row r="9" spans="2:9" ht="16.5" x14ac:dyDescent="0.35">
      <c r="B9" s="9" t="s">
        <v>367</v>
      </c>
      <c r="C9" s="9" t="s">
        <v>75</v>
      </c>
      <c r="D9" s="18" t="s">
        <v>514</v>
      </c>
      <c r="E9" s="11">
        <v>1500000</v>
      </c>
      <c r="F9" s="11">
        <v>1471.83</v>
      </c>
      <c r="G9" s="18">
        <v>0.08</v>
      </c>
      <c r="I9" s="16"/>
    </row>
    <row r="10" spans="2:9" ht="16.5" x14ac:dyDescent="0.35">
      <c r="B10" s="9" t="s">
        <v>369</v>
      </c>
      <c r="C10" s="9" t="s">
        <v>370</v>
      </c>
      <c r="D10" s="18" t="s">
        <v>368</v>
      </c>
      <c r="E10" s="11">
        <v>1200000</v>
      </c>
      <c r="F10" s="11">
        <v>1242.04</v>
      </c>
      <c r="G10" s="18">
        <v>6.7500000000000004E-2</v>
      </c>
      <c r="I10" s="16"/>
    </row>
    <row r="11" spans="2:9" ht="16.5" x14ac:dyDescent="0.35">
      <c r="B11" s="9" t="s">
        <v>324</v>
      </c>
      <c r="C11" s="9" t="s">
        <v>325</v>
      </c>
      <c r="D11" s="18" t="s">
        <v>146</v>
      </c>
      <c r="E11" s="11">
        <v>1200000</v>
      </c>
      <c r="F11" s="11">
        <v>1207.18</v>
      </c>
      <c r="G11" s="18">
        <v>6.5599999999999992E-2</v>
      </c>
      <c r="I11" s="16"/>
    </row>
    <row r="12" spans="2:9" ht="16.5" x14ac:dyDescent="0.35">
      <c r="B12" s="9" t="s">
        <v>177</v>
      </c>
      <c r="C12" s="9" t="s">
        <v>178</v>
      </c>
      <c r="D12" s="18" t="s">
        <v>146</v>
      </c>
      <c r="E12" s="11">
        <v>700000</v>
      </c>
      <c r="F12" s="11">
        <v>710.01</v>
      </c>
      <c r="G12" s="18">
        <v>3.8599999999999995E-2</v>
      </c>
      <c r="I12" s="16"/>
    </row>
    <row r="13" spans="2:9" ht="16.5" x14ac:dyDescent="0.35">
      <c r="B13" s="9" t="s">
        <v>179</v>
      </c>
      <c r="C13" s="9" t="s">
        <v>66</v>
      </c>
      <c r="D13" s="18" t="s">
        <v>180</v>
      </c>
      <c r="E13" s="11">
        <v>440000</v>
      </c>
      <c r="F13" s="11">
        <v>674.19</v>
      </c>
      <c r="G13" s="18">
        <v>3.6600000000000001E-2</v>
      </c>
      <c r="I13" s="16"/>
    </row>
    <row r="14" spans="2:9" ht="16.5" x14ac:dyDescent="0.35">
      <c r="B14" s="9" t="s">
        <v>371</v>
      </c>
      <c r="C14" s="9" t="s">
        <v>362</v>
      </c>
      <c r="D14" s="18" t="s">
        <v>511</v>
      </c>
      <c r="E14" s="11">
        <v>431000</v>
      </c>
      <c r="F14" s="11">
        <v>518.84</v>
      </c>
      <c r="G14" s="18">
        <v>2.8199999999999999E-2</v>
      </c>
      <c r="I14" s="16"/>
    </row>
    <row r="15" spans="2:9" ht="16.5" x14ac:dyDescent="0.35">
      <c r="B15" s="9" t="s">
        <v>372</v>
      </c>
      <c r="C15" s="9" t="s">
        <v>373</v>
      </c>
      <c r="D15" s="18" t="s">
        <v>498</v>
      </c>
      <c r="E15" s="11">
        <v>500000</v>
      </c>
      <c r="F15" s="11">
        <v>499.97</v>
      </c>
      <c r="G15" s="18">
        <v>2.7200000000000002E-2</v>
      </c>
      <c r="I15" s="16"/>
    </row>
    <row r="16" spans="2:9" ht="16.5" x14ac:dyDescent="0.35">
      <c r="B16" s="9" t="s">
        <v>380</v>
      </c>
      <c r="C16" s="9" t="s">
        <v>381</v>
      </c>
      <c r="D16" s="18" t="s">
        <v>493</v>
      </c>
      <c r="E16" s="11">
        <v>500000</v>
      </c>
      <c r="F16" s="11">
        <v>499.41</v>
      </c>
      <c r="G16" s="18">
        <v>2.7099999999999999E-2</v>
      </c>
      <c r="I16" s="16"/>
    </row>
    <row r="17" spans="2:9" ht="16.5" x14ac:dyDescent="0.35">
      <c r="B17" s="9" t="s">
        <v>374</v>
      </c>
      <c r="C17" s="9" t="s">
        <v>88</v>
      </c>
      <c r="D17" s="18" t="s">
        <v>180</v>
      </c>
      <c r="E17" s="11">
        <v>460000</v>
      </c>
      <c r="F17" s="11">
        <v>460.23</v>
      </c>
      <c r="G17" s="18">
        <v>2.5000000000000001E-2</v>
      </c>
      <c r="I17" s="16"/>
    </row>
    <row r="18" spans="2:9" ht="16.5" x14ac:dyDescent="0.35">
      <c r="B18" s="9" t="s">
        <v>382</v>
      </c>
      <c r="C18" s="9" t="s">
        <v>383</v>
      </c>
      <c r="D18" s="18" t="s">
        <v>499</v>
      </c>
      <c r="E18" s="11">
        <v>350000</v>
      </c>
      <c r="F18" s="11">
        <v>358.87</v>
      </c>
      <c r="G18" s="18">
        <v>1.95E-2</v>
      </c>
      <c r="I18" s="16"/>
    </row>
    <row r="19" spans="2:9" ht="16.5" x14ac:dyDescent="0.35">
      <c r="B19" s="9" t="s">
        <v>384</v>
      </c>
      <c r="C19" s="9" t="s">
        <v>385</v>
      </c>
      <c r="D19" s="18" t="s">
        <v>495</v>
      </c>
      <c r="E19" s="11">
        <v>370000</v>
      </c>
      <c r="F19" s="11">
        <v>355.77</v>
      </c>
      <c r="G19" s="18">
        <v>1.9400000000000001E-2</v>
      </c>
      <c r="I19" s="16"/>
    </row>
    <row r="20" spans="2:9" ht="16.5" x14ac:dyDescent="0.35">
      <c r="B20" s="9" t="s">
        <v>375</v>
      </c>
      <c r="C20" s="9" t="s">
        <v>88</v>
      </c>
      <c r="D20" s="18" t="s">
        <v>180</v>
      </c>
      <c r="E20" s="11">
        <v>300000</v>
      </c>
      <c r="F20" s="11">
        <v>304.75</v>
      </c>
      <c r="G20" s="18">
        <v>1.66E-2</v>
      </c>
      <c r="I20" s="16"/>
    </row>
    <row r="21" spans="2:9" ht="16.5" x14ac:dyDescent="0.35">
      <c r="B21" s="9" t="s">
        <v>386</v>
      </c>
      <c r="C21" s="9" t="s">
        <v>381</v>
      </c>
      <c r="D21" s="18" t="s">
        <v>493</v>
      </c>
      <c r="E21" s="11">
        <v>100000</v>
      </c>
      <c r="F21" s="11">
        <v>100.01</v>
      </c>
      <c r="G21" s="18">
        <v>5.4999999999999997E-3</v>
      </c>
      <c r="I21" s="16"/>
    </row>
    <row r="22" spans="2:9" ht="16.5" x14ac:dyDescent="0.35">
      <c r="B22" s="9" t="s">
        <v>376</v>
      </c>
      <c r="C22" s="9" t="s">
        <v>377</v>
      </c>
      <c r="D22" s="18" t="s">
        <v>499</v>
      </c>
      <c r="E22" s="11">
        <v>80000</v>
      </c>
      <c r="F22" s="11">
        <v>80.72</v>
      </c>
      <c r="G22" s="18">
        <v>4.4999999999999997E-3</v>
      </c>
      <c r="I22" s="16"/>
    </row>
    <row r="23" spans="2:9" ht="16.5" x14ac:dyDescent="0.35">
      <c r="B23" s="9" t="s">
        <v>378</v>
      </c>
      <c r="C23" s="9" t="s">
        <v>379</v>
      </c>
      <c r="D23" s="18" t="s">
        <v>499</v>
      </c>
      <c r="E23" s="11">
        <v>80000</v>
      </c>
      <c r="F23" s="11">
        <v>80.67</v>
      </c>
      <c r="G23" s="18">
        <v>4.4999999999999997E-3</v>
      </c>
      <c r="I23" s="16"/>
    </row>
    <row r="24" spans="2:9" ht="16.5" x14ac:dyDescent="0.35">
      <c r="B24" s="9" t="s">
        <v>184</v>
      </c>
      <c r="C24" s="9" t="s">
        <v>50</v>
      </c>
      <c r="D24" s="18" t="s">
        <v>146</v>
      </c>
      <c r="E24" s="11">
        <v>40000</v>
      </c>
      <c r="F24" s="11">
        <v>40.42</v>
      </c>
      <c r="G24" s="18">
        <v>2.2000000000000001E-3</v>
      </c>
      <c r="I24" s="16"/>
    </row>
    <row r="25" spans="2:9" ht="16.5" x14ac:dyDescent="0.35">
      <c r="B25" s="9" t="s">
        <v>0</v>
      </c>
      <c r="C25" s="9" t="s">
        <v>90</v>
      </c>
      <c r="D25" s="18"/>
      <c r="E25" s="10"/>
      <c r="F25" s="11">
        <f>SUM(F6:F24)</f>
        <v>14739.890000000001</v>
      </c>
      <c r="G25" s="18">
        <f>SUM(G6:G24)</f>
        <v>0.80149999999999966</v>
      </c>
      <c r="I25" s="16"/>
    </row>
    <row r="26" spans="2:9" ht="16.5" x14ac:dyDescent="0.35">
      <c r="B26" s="9" t="s">
        <v>0</v>
      </c>
      <c r="C26" s="9" t="s">
        <v>12</v>
      </c>
      <c r="D26" s="18"/>
      <c r="E26" s="10"/>
      <c r="F26" s="10"/>
      <c r="G26" s="18"/>
      <c r="I26" s="16"/>
    </row>
    <row r="27" spans="2:9" ht="16.5" x14ac:dyDescent="0.35">
      <c r="B27" s="9" t="s">
        <v>160</v>
      </c>
      <c r="C27" s="9" t="s">
        <v>61</v>
      </c>
      <c r="D27" s="18" t="s">
        <v>59</v>
      </c>
      <c r="E27" s="11">
        <v>1500000</v>
      </c>
      <c r="F27" s="11">
        <v>1473.4</v>
      </c>
      <c r="G27" s="18">
        <v>8.0100000000000005E-2</v>
      </c>
      <c r="I27" s="16"/>
    </row>
    <row r="28" spans="2:9" ht="16.5" x14ac:dyDescent="0.35">
      <c r="B28" s="9" t="s">
        <v>165</v>
      </c>
      <c r="C28" s="9" t="s">
        <v>78</v>
      </c>
      <c r="D28" s="18" t="s">
        <v>59</v>
      </c>
      <c r="E28" s="11">
        <v>500000</v>
      </c>
      <c r="F28" s="11">
        <v>498.97</v>
      </c>
      <c r="G28" s="18">
        <v>2.7099999999999999E-2</v>
      </c>
      <c r="I28" s="16"/>
    </row>
    <row r="29" spans="2:9" ht="16.5" x14ac:dyDescent="0.35">
      <c r="B29" s="9" t="s">
        <v>15</v>
      </c>
      <c r="C29" s="9" t="s">
        <v>16</v>
      </c>
      <c r="D29" s="18" t="s">
        <v>488</v>
      </c>
      <c r="E29" s="11">
        <v>100000</v>
      </c>
      <c r="F29" s="11">
        <v>99.73</v>
      </c>
      <c r="G29" s="18">
        <v>5.4000000000000003E-3</v>
      </c>
      <c r="I29" s="16"/>
    </row>
    <row r="30" spans="2:9" ht="16.5" x14ac:dyDescent="0.35">
      <c r="B30" s="9" t="s">
        <v>0</v>
      </c>
      <c r="C30" s="9" t="s">
        <v>90</v>
      </c>
      <c r="D30" s="18"/>
      <c r="E30" s="10"/>
      <c r="F30" s="11">
        <v>2072.1</v>
      </c>
      <c r="G30" s="18">
        <f>SUM(G27:G29)</f>
        <v>0.11260000000000001</v>
      </c>
      <c r="I30" s="16"/>
    </row>
    <row r="31" spans="2:9" ht="16.5" x14ac:dyDescent="0.35">
      <c r="B31" s="9" t="s">
        <v>0</v>
      </c>
      <c r="C31" s="9" t="s">
        <v>91</v>
      </c>
      <c r="D31" s="18"/>
      <c r="E31" s="10"/>
      <c r="F31" s="10"/>
      <c r="G31" s="18"/>
      <c r="I31" s="16"/>
    </row>
    <row r="32" spans="2:9" ht="16.5" x14ac:dyDescent="0.35">
      <c r="B32" s="9" t="s">
        <v>168</v>
      </c>
      <c r="C32" s="9" t="s">
        <v>29</v>
      </c>
      <c r="D32" s="18" t="s">
        <v>51</v>
      </c>
      <c r="E32" s="11">
        <v>1000000</v>
      </c>
      <c r="F32" s="11">
        <v>981.95</v>
      </c>
      <c r="G32" s="18">
        <v>5.3399999999999996E-2</v>
      </c>
      <c r="I32" s="16"/>
    </row>
    <row r="33" spans="2:9" ht="16.5" x14ac:dyDescent="0.35">
      <c r="B33" s="9" t="s">
        <v>0</v>
      </c>
      <c r="C33" s="9" t="s">
        <v>90</v>
      </c>
      <c r="D33" s="18"/>
      <c r="E33" s="10"/>
      <c r="F33" s="11">
        <v>981.95</v>
      </c>
      <c r="G33" s="18">
        <v>5.3399999999999996E-2</v>
      </c>
      <c r="I33" s="16"/>
    </row>
    <row r="34" spans="2:9" ht="16.5" x14ac:dyDescent="0.35">
      <c r="B34" s="9" t="s">
        <v>0</v>
      </c>
      <c r="C34" s="9" t="s">
        <v>185</v>
      </c>
      <c r="D34" s="18"/>
      <c r="E34" s="10"/>
      <c r="F34" s="10"/>
      <c r="G34" s="18"/>
      <c r="I34" s="16"/>
    </row>
    <row r="35" spans="2:9" ht="16.5" x14ac:dyDescent="0.35">
      <c r="B35" s="9" t="s">
        <v>154</v>
      </c>
      <c r="C35" s="9" t="s">
        <v>186</v>
      </c>
      <c r="D35" s="18"/>
      <c r="E35" s="9" t="s">
        <v>154</v>
      </c>
      <c r="F35" s="11">
        <v>82.99</v>
      </c>
      <c r="G35" s="18">
        <v>4.5999999999999999E-3</v>
      </c>
      <c r="I35" s="16"/>
    </row>
    <row r="36" spans="2:9" ht="16.5" x14ac:dyDescent="0.35">
      <c r="B36" s="9" t="s">
        <v>0</v>
      </c>
      <c r="C36" s="9" t="s">
        <v>90</v>
      </c>
      <c r="D36" s="18"/>
      <c r="E36" s="9" t="s">
        <v>154</v>
      </c>
      <c r="F36" s="11">
        <v>82.99</v>
      </c>
      <c r="G36" s="18">
        <v>4.5999999999999999E-3</v>
      </c>
      <c r="I36" s="16"/>
    </row>
    <row r="37" spans="2:9" ht="16.5" x14ac:dyDescent="0.35">
      <c r="B37" s="10"/>
      <c r="C37" s="9" t="s">
        <v>155</v>
      </c>
      <c r="D37" s="18"/>
      <c r="E37" s="10"/>
      <c r="F37" s="9" t="s">
        <v>0</v>
      </c>
      <c r="G37" s="18"/>
      <c r="I37" s="16"/>
    </row>
    <row r="38" spans="2:9" ht="16.5" x14ac:dyDescent="0.35">
      <c r="B38" s="10"/>
      <c r="C38" s="9" t="s">
        <v>156</v>
      </c>
      <c r="D38" s="18"/>
      <c r="E38" s="10"/>
      <c r="F38" s="11">
        <v>512.04999999999995</v>
      </c>
      <c r="G38" s="18">
        <v>2.7900000000000001E-2</v>
      </c>
      <c r="I38" s="16"/>
    </row>
    <row r="39" spans="2:9" ht="16.5" x14ac:dyDescent="0.35">
      <c r="B39" s="10"/>
      <c r="C39" s="9" t="s">
        <v>90</v>
      </c>
      <c r="D39" s="18"/>
      <c r="E39" s="10"/>
      <c r="F39" s="11">
        <v>512.04999999999995</v>
      </c>
      <c r="G39" s="18">
        <v>2.7900000000000001E-2</v>
      </c>
      <c r="I39" s="16"/>
    </row>
    <row r="40" spans="2:9" ht="16.5" x14ac:dyDescent="0.35">
      <c r="B40" s="10"/>
      <c r="C40" s="9" t="s">
        <v>157</v>
      </c>
      <c r="D40" s="10"/>
      <c r="E40" s="10"/>
      <c r="F40" s="11">
        <v>18388.98</v>
      </c>
      <c r="G40" s="18">
        <v>1</v>
      </c>
      <c r="I40" s="16"/>
    </row>
    <row r="41" spans="2:9" x14ac:dyDescent="0.25">
      <c r="B41" s="10"/>
      <c r="C41" s="10"/>
      <c r="D41" s="10"/>
      <c r="E41" s="10"/>
      <c r="F41" s="10"/>
      <c r="G41" s="10"/>
    </row>
    <row r="43" spans="2:9" x14ac:dyDescent="0.25">
      <c r="C43" s="28" t="s">
        <v>522</v>
      </c>
      <c r="D43" s="28"/>
      <c r="E43" s="28"/>
      <c r="F43" s="28"/>
      <c r="G43" s="16"/>
    </row>
    <row r="44" spans="2:9" x14ac:dyDescent="0.25">
      <c r="C44" s="28" t="s">
        <v>523</v>
      </c>
      <c r="D44" s="28"/>
      <c r="E44" s="28"/>
      <c r="F44" s="28"/>
    </row>
    <row r="45" spans="2:9" x14ac:dyDescent="0.25">
      <c r="C45" s="28" t="s">
        <v>524</v>
      </c>
      <c r="D45" s="28"/>
      <c r="E45" s="28"/>
      <c r="F45" s="28"/>
    </row>
    <row r="46" spans="2:9" x14ac:dyDescent="0.25">
      <c r="C46" s="27"/>
      <c r="D46" s="27"/>
      <c r="E46" s="27"/>
      <c r="F46" s="27"/>
    </row>
    <row r="47" spans="2:9" x14ac:dyDescent="0.25">
      <c r="C47" s="28" t="s">
        <v>525</v>
      </c>
      <c r="D47" s="28"/>
      <c r="E47" s="28"/>
      <c r="F47" s="28"/>
    </row>
  </sheetData>
  <mergeCells count="1">
    <mergeCell ref="E2:G2"/>
  </mergeCells>
  <pageMargins left="0.78749999999999998" right="0.78749999999999998" top="1.052778" bottom="1.052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7"/>
  <sheetViews>
    <sheetView workbookViewId="0">
      <selection activeCell="J11" sqref="J11"/>
    </sheetView>
  </sheetViews>
  <sheetFormatPr defaultRowHeight="15" x14ac:dyDescent="0.25"/>
  <cols>
    <col min="1" max="1" width="1" customWidth="1"/>
    <col min="2" max="2" width="11.28515625" bestFit="1" customWidth="1"/>
    <col min="3" max="3" width="38.7109375" bestFit="1" customWidth="1"/>
    <col min="4" max="4" width="15.140625" customWidth="1"/>
    <col min="5" max="5" width="9.5703125" bestFit="1" customWidth="1"/>
    <col min="6" max="6" width="11.5703125" bestFit="1" customWidth="1"/>
    <col min="7" max="7" width="8.85546875" bestFit="1" customWidth="1"/>
    <col min="8" max="8" width="10.28515625" bestFit="1" customWidth="1"/>
    <col min="9" max="9" width="12.42578125" bestFit="1" customWidth="1"/>
    <col min="10" max="10" width="10.28515625" bestFit="1" customWidth="1"/>
    <col min="11" max="11" width="12.42578125" bestFit="1" customWidth="1"/>
    <col min="12" max="12" width="10.28515625" bestFit="1" customWidth="1"/>
    <col min="13" max="13" width="12.42578125" bestFit="1" customWidth="1"/>
    <col min="14" max="14" width="10.28515625" bestFit="1" customWidth="1"/>
    <col min="15" max="15" width="12.42578125" bestFit="1" customWidth="1"/>
  </cols>
  <sheetData>
    <row r="1" spans="2:9" ht="16.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9" ht="15.75" x14ac:dyDescent="0.25">
      <c r="B2" s="3"/>
      <c r="C2" s="22" t="s">
        <v>487</v>
      </c>
      <c r="D2" s="3"/>
      <c r="E2" s="37"/>
      <c r="F2" s="37"/>
      <c r="G2" s="37"/>
    </row>
    <row r="3" spans="2:9" ht="16.5" x14ac:dyDescent="0.35">
      <c r="C3" s="2" t="s">
        <v>6</v>
      </c>
    </row>
    <row r="4" spans="2:9" ht="39" x14ac:dyDescent="0.25">
      <c r="B4" s="5" t="s">
        <v>7</v>
      </c>
      <c r="C4" s="6" t="s">
        <v>8</v>
      </c>
      <c r="D4" s="6" t="s">
        <v>9</v>
      </c>
      <c r="E4" s="5" t="s">
        <v>10</v>
      </c>
      <c r="F4" s="7" t="s">
        <v>510</v>
      </c>
      <c r="G4" s="8" t="s">
        <v>11</v>
      </c>
    </row>
    <row r="5" spans="2:9" ht="16.5" x14ac:dyDescent="0.35">
      <c r="B5" s="9" t="s">
        <v>0</v>
      </c>
      <c r="C5" s="9" t="s">
        <v>183</v>
      </c>
      <c r="D5" s="9" t="s">
        <v>0</v>
      </c>
      <c r="E5" s="10"/>
      <c r="F5" s="10"/>
      <c r="G5" s="10"/>
    </row>
    <row r="6" spans="2:9" ht="16.5" x14ac:dyDescent="0.35">
      <c r="B6" s="9" t="s">
        <v>384</v>
      </c>
      <c r="C6" s="9" t="s">
        <v>385</v>
      </c>
      <c r="D6" s="10" t="s">
        <v>495</v>
      </c>
      <c r="E6" s="11">
        <v>290000</v>
      </c>
      <c r="F6" s="11">
        <v>278.85000000000002</v>
      </c>
      <c r="G6" s="18">
        <v>0.3322</v>
      </c>
      <c r="I6" s="17"/>
    </row>
    <row r="7" spans="2:9" ht="16.5" x14ac:dyDescent="0.35">
      <c r="B7" s="9" t="s">
        <v>375</v>
      </c>
      <c r="C7" s="9" t="s">
        <v>88</v>
      </c>
      <c r="D7" s="9" t="s">
        <v>180</v>
      </c>
      <c r="E7" s="11">
        <v>200000</v>
      </c>
      <c r="F7" s="11">
        <v>203.16</v>
      </c>
      <c r="G7" s="18">
        <v>0.24199999999999999</v>
      </c>
      <c r="I7" s="17"/>
    </row>
    <row r="8" spans="2:9" ht="16.5" x14ac:dyDescent="0.35">
      <c r="B8" s="9" t="s">
        <v>0</v>
      </c>
      <c r="C8" s="9" t="s">
        <v>90</v>
      </c>
      <c r="D8" s="9" t="s">
        <v>0</v>
      </c>
      <c r="E8" s="10"/>
      <c r="F8" s="11">
        <f>SUM(F6:F7)</f>
        <v>482.01</v>
      </c>
      <c r="G8" s="18">
        <f>SUM(G6:G7)</f>
        <v>0.57420000000000004</v>
      </c>
      <c r="I8" s="17"/>
    </row>
    <row r="9" spans="2:9" ht="16.5" x14ac:dyDescent="0.35">
      <c r="B9" s="9" t="s">
        <v>0</v>
      </c>
      <c r="C9" s="9" t="s">
        <v>479</v>
      </c>
      <c r="D9" s="9" t="s">
        <v>0</v>
      </c>
      <c r="E9" s="10"/>
      <c r="F9" s="10"/>
      <c r="G9" s="18"/>
      <c r="I9" s="17"/>
    </row>
    <row r="10" spans="2:9" ht="16.5" x14ac:dyDescent="0.35">
      <c r="B10" s="9" t="s">
        <v>480</v>
      </c>
      <c r="C10" s="9" t="s">
        <v>481</v>
      </c>
      <c r="D10" s="9" t="s">
        <v>489</v>
      </c>
      <c r="E10" s="11">
        <v>200000</v>
      </c>
      <c r="F10" s="11">
        <v>191.94</v>
      </c>
      <c r="G10" s="18">
        <v>0.2286</v>
      </c>
      <c r="I10" s="17"/>
    </row>
    <row r="11" spans="2:9" ht="16.5" x14ac:dyDescent="0.35">
      <c r="B11" s="9" t="s">
        <v>484</v>
      </c>
      <c r="C11" s="9" t="s">
        <v>485</v>
      </c>
      <c r="D11" s="9" t="s">
        <v>489</v>
      </c>
      <c r="E11" s="11">
        <v>30000</v>
      </c>
      <c r="F11" s="11">
        <v>28.34</v>
      </c>
      <c r="G11" s="18">
        <v>3.3799999999999997E-2</v>
      </c>
      <c r="I11" s="17"/>
    </row>
    <row r="12" spans="2:9" ht="16.5" x14ac:dyDescent="0.35">
      <c r="B12" s="9" t="s">
        <v>482</v>
      </c>
      <c r="C12" s="9" t="s">
        <v>483</v>
      </c>
      <c r="D12" s="9" t="s">
        <v>489</v>
      </c>
      <c r="E12" s="11">
        <v>200</v>
      </c>
      <c r="F12" s="11">
        <v>0.19</v>
      </c>
      <c r="G12" s="18">
        <v>2.0000000000000001E-4</v>
      </c>
      <c r="I12" s="17"/>
    </row>
    <row r="13" spans="2:9" ht="16.5" x14ac:dyDescent="0.35">
      <c r="B13" s="9" t="s">
        <v>0</v>
      </c>
      <c r="C13" s="9" t="s">
        <v>90</v>
      </c>
      <c r="D13" s="9" t="s">
        <v>0</v>
      </c>
      <c r="E13" s="10"/>
      <c r="F13" s="11">
        <v>220.47</v>
      </c>
      <c r="G13" s="18">
        <v>0.2626</v>
      </c>
      <c r="I13" s="17"/>
    </row>
    <row r="14" spans="2:9" ht="16.5" x14ac:dyDescent="0.35">
      <c r="B14" s="9" t="s">
        <v>0</v>
      </c>
      <c r="C14" s="9" t="s">
        <v>185</v>
      </c>
      <c r="D14" s="9" t="s">
        <v>0</v>
      </c>
      <c r="E14" s="10"/>
      <c r="F14" s="10"/>
      <c r="G14" s="18"/>
      <c r="I14" s="17"/>
    </row>
    <row r="15" spans="2:9" ht="16.5" x14ac:dyDescent="0.35">
      <c r="B15" s="9" t="s">
        <v>154</v>
      </c>
      <c r="C15" s="9" t="s">
        <v>186</v>
      </c>
      <c r="D15" s="10"/>
      <c r="E15" s="9" t="s">
        <v>154</v>
      </c>
      <c r="F15" s="11">
        <v>10.5</v>
      </c>
      <c r="G15" s="18">
        <v>1.2500000000000001E-2</v>
      </c>
      <c r="I15" s="17"/>
    </row>
    <row r="16" spans="2:9" ht="16.5" x14ac:dyDescent="0.35">
      <c r="B16" s="9" t="s">
        <v>0</v>
      </c>
      <c r="C16" s="9" t="s">
        <v>90</v>
      </c>
      <c r="D16" s="9" t="s">
        <v>0</v>
      </c>
      <c r="E16" s="9" t="s">
        <v>154</v>
      </c>
      <c r="F16" s="11">
        <v>10.5</v>
      </c>
      <c r="G16" s="18">
        <v>1.2500000000000001E-2</v>
      </c>
      <c r="I16" s="17"/>
    </row>
    <row r="17" spans="2:9" ht="16.5" x14ac:dyDescent="0.35">
      <c r="B17" s="10"/>
      <c r="C17" s="9" t="s">
        <v>155</v>
      </c>
      <c r="D17" s="10"/>
      <c r="E17" s="10"/>
      <c r="F17" s="9" t="s">
        <v>0</v>
      </c>
      <c r="G17" s="18"/>
      <c r="I17" s="17"/>
    </row>
    <row r="18" spans="2:9" ht="16.5" x14ac:dyDescent="0.35">
      <c r="B18" s="10"/>
      <c r="C18" s="9" t="s">
        <v>156</v>
      </c>
      <c r="D18" s="10"/>
      <c r="E18" s="10"/>
      <c r="F18" s="11">
        <v>126.52</v>
      </c>
      <c r="G18" s="18">
        <v>0.1507</v>
      </c>
      <c r="I18" s="17"/>
    </row>
    <row r="19" spans="2:9" ht="16.5" x14ac:dyDescent="0.35">
      <c r="B19" s="10"/>
      <c r="C19" s="9" t="s">
        <v>90</v>
      </c>
      <c r="D19" s="10"/>
      <c r="E19" s="10"/>
      <c r="F19" s="11">
        <v>126.52</v>
      </c>
      <c r="G19" s="18">
        <v>0.1507</v>
      </c>
      <c r="I19" s="17"/>
    </row>
    <row r="20" spans="2:9" ht="16.5" x14ac:dyDescent="0.35">
      <c r="B20" s="10"/>
      <c r="C20" s="9" t="s">
        <v>157</v>
      </c>
      <c r="D20" s="10"/>
      <c r="E20" s="10"/>
      <c r="F20" s="11">
        <v>839.5</v>
      </c>
      <c r="G20" s="18">
        <v>1</v>
      </c>
      <c r="I20" s="17"/>
    </row>
    <row r="22" spans="2:9" x14ac:dyDescent="0.25">
      <c r="F22" s="15"/>
      <c r="G22" s="16"/>
    </row>
    <row r="23" spans="2:9" x14ac:dyDescent="0.25">
      <c r="C23" s="29" t="s">
        <v>522</v>
      </c>
      <c r="D23" s="29"/>
      <c r="E23" s="29"/>
      <c r="F23" s="29"/>
    </row>
    <row r="24" spans="2:9" x14ac:dyDescent="0.25">
      <c r="C24" s="29" t="s">
        <v>523</v>
      </c>
      <c r="D24" s="29"/>
      <c r="E24" s="29"/>
      <c r="F24" s="29"/>
    </row>
    <row r="25" spans="2:9" x14ac:dyDescent="0.25">
      <c r="C25" s="29" t="s">
        <v>524</v>
      </c>
      <c r="D25" s="29"/>
      <c r="E25" s="29"/>
      <c r="F25" s="29"/>
    </row>
    <row r="26" spans="2:9" x14ac:dyDescent="0.25">
      <c r="C26" s="28"/>
      <c r="D26" s="28"/>
      <c r="E26" s="28"/>
      <c r="F26" s="28"/>
    </row>
    <row r="27" spans="2:9" x14ac:dyDescent="0.25">
      <c r="C27" s="29" t="s">
        <v>525</v>
      </c>
      <c r="D27" s="29"/>
      <c r="E27" s="29"/>
      <c r="F27" s="29"/>
    </row>
  </sheetData>
  <mergeCells count="1">
    <mergeCell ref="E2:G2"/>
  </mergeCells>
  <pageMargins left="0.78749999999999998" right="0.78749999999999998" top="1.052778" bottom="1.052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4"/>
  <sheetViews>
    <sheetView workbookViewId="0">
      <selection activeCell="I13" sqref="I13"/>
    </sheetView>
  </sheetViews>
  <sheetFormatPr defaultRowHeight="15" x14ac:dyDescent="0.25"/>
  <cols>
    <col min="1" max="1" width="1" customWidth="1"/>
    <col min="2" max="2" width="11.7109375" bestFit="1" customWidth="1"/>
    <col min="3" max="3" width="45" bestFit="1" customWidth="1"/>
    <col min="4" max="4" width="23.28515625" bestFit="1" customWidth="1"/>
    <col min="5" max="5" width="10.42578125" bestFit="1" customWidth="1"/>
    <col min="6" max="6" width="11.5703125" bestFit="1" customWidth="1"/>
    <col min="7" max="7" width="8.85546875" bestFit="1" customWidth="1"/>
    <col min="8" max="8" width="10.28515625" bestFit="1" customWidth="1"/>
    <col min="9" max="9" width="12.42578125" bestFit="1" customWidth="1"/>
    <col min="10" max="10" width="10.28515625" bestFit="1" customWidth="1"/>
    <col min="11" max="11" width="12.42578125" bestFit="1" customWidth="1"/>
    <col min="12" max="12" width="10.28515625" bestFit="1" customWidth="1"/>
    <col min="13" max="13" width="12.42578125" bestFit="1" customWidth="1"/>
    <col min="14" max="14" width="10.28515625" bestFit="1" customWidth="1"/>
    <col min="15" max="15" width="12.42578125" bestFit="1" customWidth="1"/>
  </cols>
  <sheetData>
    <row r="1" spans="2:9" ht="16.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9" ht="15.75" x14ac:dyDescent="0.25">
      <c r="B2" s="3"/>
      <c r="C2" s="22" t="s">
        <v>408</v>
      </c>
      <c r="D2" s="3"/>
      <c r="E2" s="37"/>
      <c r="F2" s="37"/>
      <c r="G2" s="37"/>
    </row>
    <row r="3" spans="2:9" ht="16.5" x14ac:dyDescent="0.35">
      <c r="C3" s="2" t="s">
        <v>6</v>
      </c>
    </row>
    <row r="4" spans="2:9" ht="39" x14ac:dyDescent="0.25">
      <c r="B4" s="5" t="s">
        <v>7</v>
      </c>
      <c r="C4" s="6" t="s">
        <v>8</v>
      </c>
      <c r="D4" s="6" t="s">
        <v>9</v>
      </c>
      <c r="E4" s="5" t="s">
        <v>10</v>
      </c>
      <c r="F4" s="7" t="s">
        <v>510</v>
      </c>
      <c r="G4" s="8" t="s">
        <v>11</v>
      </c>
    </row>
    <row r="5" spans="2:9" ht="16.5" x14ac:dyDescent="0.35">
      <c r="B5" s="9" t="s">
        <v>0</v>
      </c>
      <c r="C5" s="9" t="s">
        <v>139</v>
      </c>
      <c r="D5" s="9" t="s">
        <v>0</v>
      </c>
      <c r="E5" s="10"/>
      <c r="F5" s="10"/>
      <c r="G5" s="10"/>
    </row>
    <row r="6" spans="2:9" ht="16.5" x14ac:dyDescent="0.35">
      <c r="B6" s="9" t="s">
        <v>177</v>
      </c>
      <c r="C6" s="9" t="s">
        <v>178</v>
      </c>
      <c r="D6" s="18" t="s">
        <v>146</v>
      </c>
      <c r="E6" s="11">
        <v>1000000</v>
      </c>
      <c r="F6" s="11">
        <v>1014.3</v>
      </c>
      <c r="G6" s="18">
        <v>9.7799999999999998E-2</v>
      </c>
      <c r="I6" s="16"/>
    </row>
    <row r="7" spans="2:9" ht="16.5" x14ac:dyDescent="0.35">
      <c r="B7" s="9" t="s">
        <v>372</v>
      </c>
      <c r="C7" s="9" t="s">
        <v>373</v>
      </c>
      <c r="D7" s="18" t="s">
        <v>498</v>
      </c>
      <c r="E7" s="11">
        <v>1000000</v>
      </c>
      <c r="F7" s="11">
        <v>999.93</v>
      </c>
      <c r="G7" s="18">
        <v>9.64E-2</v>
      </c>
      <c r="I7" s="16"/>
    </row>
    <row r="8" spans="2:9" ht="16.5" x14ac:dyDescent="0.35">
      <c r="B8" s="9" t="s">
        <v>371</v>
      </c>
      <c r="C8" s="9" t="s">
        <v>362</v>
      </c>
      <c r="D8" s="18" t="s">
        <v>511</v>
      </c>
      <c r="E8" s="11">
        <v>830000</v>
      </c>
      <c r="F8" s="11">
        <v>999.16</v>
      </c>
      <c r="G8" s="18">
        <v>9.6300000000000011E-2</v>
      </c>
      <c r="I8" s="16"/>
    </row>
    <row r="9" spans="2:9" ht="16.5" x14ac:dyDescent="0.35">
      <c r="B9" s="9" t="s">
        <v>365</v>
      </c>
      <c r="C9" s="9" t="s">
        <v>366</v>
      </c>
      <c r="D9" s="18" t="s">
        <v>513</v>
      </c>
      <c r="E9" s="11">
        <v>1000000</v>
      </c>
      <c r="F9" s="11">
        <v>990.32</v>
      </c>
      <c r="G9" s="18">
        <v>9.5500000000000002E-2</v>
      </c>
      <c r="I9" s="16"/>
    </row>
    <row r="10" spans="2:9" ht="16.5" x14ac:dyDescent="0.35">
      <c r="B10" s="9" t="s">
        <v>369</v>
      </c>
      <c r="C10" s="9" t="s">
        <v>370</v>
      </c>
      <c r="D10" s="18" t="s">
        <v>368</v>
      </c>
      <c r="E10" s="11">
        <v>950000</v>
      </c>
      <c r="F10" s="11">
        <v>983.28</v>
      </c>
      <c r="G10" s="18">
        <v>9.4800000000000009E-2</v>
      </c>
      <c r="I10" s="16"/>
    </row>
    <row r="11" spans="2:9" ht="16.5" x14ac:dyDescent="0.35">
      <c r="B11" s="9" t="s">
        <v>367</v>
      </c>
      <c r="C11" s="9" t="s">
        <v>75</v>
      </c>
      <c r="D11" s="18" t="s">
        <v>515</v>
      </c>
      <c r="E11" s="11">
        <v>1000000</v>
      </c>
      <c r="F11" s="11">
        <v>981.22</v>
      </c>
      <c r="G11" s="18">
        <v>9.4600000000000004E-2</v>
      </c>
      <c r="I11" s="16"/>
    </row>
    <row r="12" spans="2:9" ht="16.5" x14ac:dyDescent="0.35">
      <c r="B12" s="9" t="s">
        <v>179</v>
      </c>
      <c r="C12" s="9" t="s">
        <v>66</v>
      </c>
      <c r="D12" s="18" t="s">
        <v>180</v>
      </c>
      <c r="E12" s="11">
        <v>430000</v>
      </c>
      <c r="F12" s="11">
        <v>658.86</v>
      </c>
      <c r="G12" s="18">
        <v>6.3500000000000001E-2</v>
      </c>
      <c r="I12" s="16"/>
    </row>
    <row r="13" spans="2:9" ht="16.5" x14ac:dyDescent="0.35">
      <c r="B13" s="9" t="s">
        <v>181</v>
      </c>
      <c r="C13" s="9" t="s">
        <v>182</v>
      </c>
      <c r="D13" s="18" t="s">
        <v>146</v>
      </c>
      <c r="E13" s="11">
        <v>240000</v>
      </c>
      <c r="F13" s="11">
        <v>463.42</v>
      </c>
      <c r="G13" s="18">
        <v>4.4699999999999997E-2</v>
      </c>
      <c r="I13" s="16"/>
    </row>
    <row r="14" spans="2:9" ht="16.5" x14ac:dyDescent="0.35">
      <c r="B14" s="9" t="s">
        <v>409</v>
      </c>
      <c r="C14" s="9" t="s">
        <v>151</v>
      </c>
      <c r="D14" s="18" t="s">
        <v>146</v>
      </c>
      <c r="E14" s="11">
        <v>300000</v>
      </c>
      <c r="F14" s="11">
        <v>297.81</v>
      </c>
      <c r="G14" s="18">
        <v>2.87E-2</v>
      </c>
      <c r="I14" s="16"/>
    </row>
    <row r="15" spans="2:9" ht="16.5" x14ac:dyDescent="0.35">
      <c r="B15" s="9" t="s">
        <v>172</v>
      </c>
      <c r="C15" s="9" t="s">
        <v>173</v>
      </c>
      <c r="D15" s="18" t="s">
        <v>490</v>
      </c>
      <c r="E15" s="11">
        <v>230000</v>
      </c>
      <c r="F15" s="11">
        <v>230.61</v>
      </c>
      <c r="G15" s="18">
        <v>2.2200000000000001E-2</v>
      </c>
      <c r="I15" s="16"/>
    </row>
    <row r="16" spans="2:9" ht="16.5" x14ac:dyDescent="0.35">
      <c r="B16" s="9" t="s">
        <v>363</v>
      </c>
      <c r="C16" s="9" t="s">
        <v>364</v>
      </c>
      <c r="D16" s="18" t="s">
        <v>512</v>
      </c>
      <c r="E16" s="11">
        <v>200000</v>
      </c>
      <c r="F16" s="11">
        <v>198.41</v>
      </c>
      <c r="G16" s="18">
        <v>1.9099999999999999E-2</v>
      </c>
      <c r="I16" s="16"/>
    </row>
    <row r="17" spans="2:9" ht="16.5" x14ac:dyDescent="0.35">
      <c r="B17" s="9" t="s">
        <v>413</v>
      </c>
      <c r="C17" s="9" t="s">
        <v>414</v>
      </c>
      <c r="D17" s="18" t="s">
        <v>500</v>
      </c>
      <c r="E17" s="11">
        <v>140000</v>
      </c>
      <c r="F17" s="11">
        <v>176.88</v>
      </c>
      <c r="G17" s="18">
        <v>1.7100000000000001E-2</v>
      </c>
      <c r="I17" s="16"/>
    </row>
    <row r="18" spans="2:9" ht="16.5" x14ac:dyDescent="0.35">
      <c r="B18" s="9" t="s">
        <v>0</v>
      </c>
      <c r="C18" s="9" t="s">
        <v>90</v>
      </c>
      <c r="D18" s="9" t="s">
        <v>0</v>
      </c>
      <c r="E18" s="10"/>
      <c r="F18" s="11">
        <f>SUM(F6:F17)</f>
        <v>7994.2</v>
      </c>
      <c r="G18" s="18">
        <v>0.77070000000000005</v>
      </c>
      <c r="I18" s="16"/>
    </row>
    <row r="19" spans="2:9" ht="16.5" x14ac:dyDescent="0.35">
      <c r="B19" s="9" t="s">
        <v>0</v>
      </c>
      <c r="C19" s="9" t="s">
        <v>188</v>
      </c>
      <c r="D19" s="9" t="s">
        <v>0</v>
      </c>
      <c r="E19" s="10"/>
      <c r="F19" s="10"/>
      <c r="G19" s="18"/>
      <c r="I19" s="16"/>
    </row>
    <row r="20" spans="2:9" ht="16.5" x14ac:dyDescent="0.35">
      <c r="B20" s="9" t="s">
        <v>204</v>
      </c>
      <c r="C20" s="9" t="s">
        <v>205</v>
      </c>
      <c r="D20" s="9" t="s">
        <v>206</v>
      </c>
      <c r="E20" s="11">
        <v>24900</v>
      </c>
      <c r="F20" s="11">
        <v>986.87</v>
      </c>
      <c r="G20" s="18">
        <v>9.5199999999999993E-2</v>
      </c>
      <c r="I20" s="16"/>
    </row>
    <row r="21" spans="2:9" ht="16.5" x14ac:dyDescent="0.35">
      <c r="B21" s="9" t="s">
        <v>207</v>
      </c>
      <c r="C21" s="9" t="s">
        <v>208</v>
      </c>
      <c r="D21" s="9" t="s">
        <v>209</v>
      </c>
      <c r="E21" s="11">
        <v>48650</v>
      </c>
      <c r="F21" s="11">
        <v>145.16999999999999</v>
      </c>
      <c r="G21" s="18">
        <v>1.3999999999999999E-2</v>
      </c>
      <c r="I21" s="16"/>
    </row>
    <row r="22" spans="2:9" ht="16.5" x14ac:dyDescent="0.35">
      <c r="B22" s="9" t="s">
        <v>199</v>
      </c>
      <c r="C22" s="9" t="s">
        <v>200</v>
      </c>
      <c r="D22" s="9" t="s">
        <v>201</v>
      </c>
      <c r="E22" s="11">
        <v>16034</v>
      </c>
      <c r="F22" s="11">
        <v>140.02000000000001</v>
      </c>
      <c r="G22" s="18">
        <v>1.3500000000000002E-2</v>
      </c>
      <c r="I22" s="16"/>
    </row>
    <row r="23" spans="2:9" ht="16.5" x14ac:dyDescent="0.35">
      <c r="B23" s="9" t="s">
        <v>215</v>
      </c>
      <c r="C23" s="9" t="s">
        <v>216</v>
      </c>
      <c r="D23" s="9" t="s">
        <v>201</v>
      </c>
      <c r="E23" s="11">
        <v>1368</v>
      </c>
      <c r="F23" s="11">
        <v>120.59</v>
      </c>
      <c r="G23" s="18">
        <v>1.1599999999999999E-2</v>
      </c>
      <c r="I23" s="16"/>
    </row>
    <row r="24" spans="2:9" ht="16.5" x14ac:dyDescent="0.35">
      <c r="B24" s="9" t="s">
        <v>387</v>
      </c>
      <c r="C24" s="9" t="s">
        <v>388</v>
      </c>
      <c r="D24" s="9" t="s">
        <v>214</v>
      </c>
      <c r="E24" s="11">
        <v>6450</v>
      </c>
      <c r="F24" s="11">
        <v>104.94</v>
      </c>
      <c r="G24" s="18">
        <v>1.01E-2</v>
      </c>
      <c r="I24" s="16"/>
    </row>
    <row r="25" spans="2:9" ht="16.5" x14ac:dyDescent="0.35">
      <c r="B25" s="9" t="s">
        <v>246</v>
      </c>
      <c r="C25" s="9" t="s">
        <v>247</v>
      </c>
      <c r="D25" s="9" t="s">
        <v>196</v>
      </c>
      <c r="E25" s="11">
        <v>9450</v>
      </c>
      <c r="F25" s="11">
        <v>102.49</v>
      </c>
      <c r="G25" s="18">
        <v>9.8999999999999991E-3</v>
      </c>
      <c r="I25" s="16"/>
    </row>
    <row r="26" spans="2:9" ht="16.5" x14ac:dyDescent="0.35">
      <c r="B26" s="9" t="s">
        <v>262</v>
      </c>
      <c r="C26" s="9" t="s">
        <v>66</v>
      </c>
      <c r="D26" s="9" t="s">
        <v>198</v>
      </c>
      <c r="E26" s="11">
        <v>15900</v>
      </c>
      <c r="F26" s="11">
        <v>101.92</v>
      </c>
      <c r="G26" s="18">
        <v>9.7999999999999997E-3</v>
      </c>
      <c r="I26" s="16"/>
    </row>
    <row r="27" spans="2:9" ht="16.5" x14ac:dyDescent="0.35">
      <c r="B27" s="9" t="s">
        <v>238</v>
      </c>
      <c r="C27" s="9" t="s">
        <v>239</v>
      </c>
      <c r="D27" s="9" t="s">
        <v>240</v>
      </c>
      <c r="E27" s="11">
        <v>17000</v>
      </c>
      <c r="F27" s="11">
        <v>54.63</v>
      </c>
      <c r="G27" s="18">
        <v>5.3E-3</v>
      </c>
      <c r="I27" s="16"/>
    </row>
    <row r="28" spans="2:9" ht="16.5" x14ac:dyDescent="0.35">
      <c r="B28" s="9" t="s">
        <v>236</v>
      </c>
      <c r="C28" s="9" t="s">
        <v>237</v>
      </c>
      <c r="D28" s="9" t="s">
        <v>193</v>
      </c>
      <c r="E28" s="11">
        <v>38400</v>
      </c>
      <c r="F28" s="11">
        <v>51.28</v>
      </c>
      <c r="G28" s="18">
        <v>4.8999999999999998E-3</v>
      </c>
      <c r="I28" s="16"/>
    </row>
    <row r="29" spans="2:9" ht="16.5" x14ac:dyDescent="0.35">
      <c r="B29" s="9" t="s">
        <v>390</v>
      </c>
      <c r="C29" s="9" t="s">
        <v>391</v>
      </c>
      <c r="D29" s="9" t="s">
        <v>230</v>
      </c>
      <c r="E29" s="11">
        <v>26565</v>
      </c>
      <c r="F29" s="11">
        <v>49.65</v>
      </c>
      <c r="G29" s="18">
        <v>4.7999999999999996E-3</v>
      </c>
      <c r="I29" s="16"/>
    </row>
    <row r="30" spans="2:9" ht="16.5" x14ac:dyDescent="0.35">
      <c r="B30" s="9" t="s">
        <v>410</v>
      </c>
      <c r="C30" s="9" t="s">
        <v>411</v>
      </c>
      <c r="D30" s="9" t="s">
        <v>193</v>
      </c>
      <c r="E30" s="11">
        <v>12500</v>
      </c>
      <c r="F30" s="11">
        <v>47.76</v>
      </c>
      <c r="G30" s="18">
        <v>4.5999999999999999E-3</v>
      </c>
      <c r="I30" s="16"/>
    </row>
    <row r="31" spans="2:9" ht="16.5" x14ac:dyDescent="0.35">
      <c r="B31" s="9" t="s">
        <v>412</v>
      </c>
      <c r="C31" s="9" t="s">
        <v>115</v>
      </c>
      <c r="D31" s="9" t="s">
        <v>190</v>
      </c>
      <c r="E31" s="11">
        <v>1522</v>
      </c>
      <c r="F31" s="11">
        <v>28.89</v>
      </c>
      <c r="G31" s="18">
        <v>2.8000000000000004E-3</v>
      </c>
      <c r="I31" s="16"/>
    </row>
    <row r="32" spans="2:9" ht="16.5" x14ac:dyDescent="0.35">
      <c r="B32" s="9" t="s">
        <v>252</v>
      </c>
      <c r="C32" s="9" t="s">
        <v>253</v>
      </c>
      <c r="D32" s="9" t="s">
        <v>240</v>
      </c>
      <c r="E32" s="11">
        <v>24150</v>
      </c>
      <c r="F32" s="11">
        <v>25.33</v>
      </c>
      <c r="G32" s="18">
        <v>2.3999999999999998E-3</v>
      </c>
      <c r="I32" s="16"/>
    </row>
    <row r="33" spans="2:9" ht="16.5" x14ac:dyDescent="0.35">
      <c r="B33" s="9" t="s">
        <v>0</v>
      </c>
      <c r="C33" s="9" t="s">
        <v>90</v>
      </c>
      <c r="D33" s="9" t="s">
        <v>0</v>
      </c>
      <c r="E33" s="10"/>
      <c r="F33" s="11">
        <v>1959.54</v>
      </c>
      <c r="G33" s="18">
        <v>0.18890000000000001</v>
      </c>
      <c r="I33" s="16"/>
    </row>
    <row r="34" spans="2:9" ht="16.5" x14ac:dyDescent="0.35">
      <c r="B34" s="10"/>
      <c r="C34" s="9" t="s">
        <v>155</v>
      </c>
      <c r="D34" s="10"/>
      <c r="E34" s="10"/>
      <c r="F34" s="9" t="s">
        <v>0</v>
      </c>
      <c r="G34" s="18"/>
      <c r="I34" s="16"/>
    </row>
    <row r="35" spans="2:9" ht="16.5" x14ac:dyDescent="0.35">
      <c r="B35" s="10"/>
      <c r="C35" s="9" t="s">
        <v>156</v>
      </c>
      <c r="D35" s="10"/>
      <c r="E35" s="10"/>
      <c r="F35" s="11">
        <v>417.68</v>
      </c>
      <c r="G35" s="18">
        <v>4.0399999999999998E-2</v>
      </c>
      <c r="I35" s="16"/>
    </row>
    <row r="36" spans="2:9" ht="16.5" x14ac:dyDescent="0.35">
      <c r="B36" s="10"/>
      <c r="C36" s="9" t="s">
        <v>90</v>
      </c>
      <c r="D36" s="10"/>
      <c r="E36" s="10"/>
      <c r="F36" s="11">
        <v>417.68</v>
      </c>
      <c r="G36" s="18">
        <v>4.0399999999999998E-2</v>
      </c>
      <c r="I36" s="16"/>
    </row>
    <row r="37" spans="2:9" ht="16.5" x14ac:dyDescent="0.35">
      <c r="B37" s="10"/>
      <c r="C37" s="9" t="s">
        <v>157</v>
      </c>
      <c r="D37" s="10"/>
      <c r="E37" s="10"/>
      <c r="F37" s="11">
        <v>10371.42</v>
      </c>
      <c r="G37" s="18">
        <v>1</v>
      </c>
      <c r="I37" s="16"/>
    </row>
    <row r="38" spans="2:9" x14ac:dyDescent="0.25">
      <c r="B38" s="10"/>
      <c r="C38" s="10"/>
      <c r="D38" s="10"/>
      <c r="E38" s="10"/>
      <c r="F38" s="10"/>
      <c r="G38" s="10"/>
    </row>
    <row r="40" spans="2:9" x14ac:dyDescent="0.25">
      <c r="C40" s="30" t="s">
        <v>522</v>
      </c>
      <c r="D40" s="30"/>
      <c r="E40" s="30"/>
      <c r="F40" s="15"/>
      <c r="G40" s="16"/>
    </row>
    <row r="41" spans="2:9" x14ac:dyDescent="0.25">
      <c r="C41" s="30" t="s">
        <v>523</v>
      </c>
      <c r="D41" s="30"/>
      <c r="E41" s="30"/>
    </row>
    <row r="42" spans="2:9" x14ac:dyDescent="0.25">
      <c r="C42" s="30" t="s">
        <v>524</v>
      </c>
      <c r="D42" s="30"/>
      <c r="E42" s="30"/>
      <c r="G42" s="15"/>
    </row>
    <row r="43" spans="2:9" x14ac:dyDescent="0.25">
      <c r="C43" s="30"/>
      <c r="D43" s="30"/>
      <c r="E43" s="30"/>
    </row>
    <row r="44" spans="2:9" x14ac:dyDescent="0.25">
      <c r="C44" s="30" t="s">
        <v>525</v>
      </c>
      <c r="D44" s="30"/>
      <c r="E44" s="30"/>
      <c r="F44" s="15"/>
    </row>
  </sheetData>
  <mergeCells count="1">
    <mergeCell ref="E2:G2"/>
  </mergeCells>
  <pageMargins left="0.78749999999999998" right="0.78749999999999998" top="1.052778" bottom="1.052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0"/>
  <sheetViews>
    <sheetView workbookViewId="0">
      <selection activeCell="C12" sqref="C12"/>
    </sheetView>
  </sheetViews>
  <sheetFormatPr defaultRowHeight="15" x14ac:dyDescent="0.25"/>
  <cols>
    <col min="1" max="1" width="1" customWidth="1"/>
    <col min="2" max="2" width="11.5703125" bestFit="1" customWidth="1"/>
    <col min="3" max="3" width="45" bestFit="1" customWidth="1"/>
    <col min="4" max="4" width="17.7109375" customWidth="1"/>
    <col min="5" max="5" width="9.5703125" bestFit="1" customWidth="1"/>
    <col min="6" max="6" width="11.5703125" bestFit="1" customWidth="1"/>
    <col min="7" max="7" width="8.85546875" bestFit="1" customWidth="1"/>
    <col min="8" max="8" width="10.28515625" bestFit="1" customWidth="1"/>
    <col min="9" max="9" width="1.85546875" bestFit="1" customWidth="1"/>
    <col min="10" max="10" width="10.28515625" bestFit="1" customWidth="1"/>
    <col min="11" max="11" width="12.42578125" bestFit="1" customWidth="1"/>
    <col min="12" max="12" width="10.28515625" bestFit="1" customWidth="1"/>
    <col min="13" max="13" width="12.42578125" bestFit="1" customWidth="1"/>
    <col min="14" max="14" width="10.28515625" bestFit="1" customWidth="1"/>
    <col min="15" max="15" width="12.42578125" bestFit="1" customWidth="1"/>
  </cols>
  <sheetData>
    <row r="1" spans="2:9" ht="16.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9" ht="15.75" x14ac:dyDescent="0.25">
      <c r="B2" s="23"/>
      <c r="C2" s="23" t="s">
        <v>477</v>
      </c>
      <c r="D2" s="24"/>
      <c r="E2" s="24"/>
      <c r="F2" s="24"/>
      <c r="G2" s="24"/>
    </row>
    <row r="3" spans="2:9" ht="16.5" x14ac:dyDescent="0.35">
      <c r="C3" s="2" t="s">
        <v>6</v>
      </c>
    </row>
    <row r="4" spans="2:9" ht="39" x14ac:dyDescent="0.25">
      <c r="B4" s="5" t="s">
        <v>7</v>
      </c>
      <c r="C4" s="6" t="s">
        <v>8</v>
      </c>
      <c r="D4" s="6" t="s">
        <v>9</v>
      </c>
      <c r="E4" s="5" t="s">
        <v>10</v>
      </c>
      <c r="F4" s="7" t="s">
        <v>510</v>
      </c>
      <c r="G4" s="8" t="s">
        <v>11</v>
      </c>
    </row>
    <row r="5" spans="2:9" ht="16.5" x14ac:dyDescent="0.35">
      <c r="B5" s="9" t="s">
        <v>0</v>
      </c>
      <c r="C5" s="9" t="s">
        <v>139</v>
      </c>
      <c r="D5" s="9" t="s">
        <v>0</v>
      </c>
      <c r="E5" s="10"/>
      <c r="F5" s="10"/>
      <c r="G5" s="10"/>
      <c r="I5" t="s">
        <v>1</v>
      </c>
    </row>
    <row r="6" spans="2:9" ht="16.5" x14ac:dyDescent="0.35">
      <c r="B6" s="9" t="s">
        <v>179</v>
      </c>
      <c r="C6" s="9" t="s">
        <v>66</v>
      </c>
      <c r="D6" s="9" t="s">
        <v>180</v>
      </c>
      <c r="E6" s="11">
        <v>280000</v>
      </c>
      <c r="F6" s="11">
        <v>429.03</v>
      </c>
      <c r="G6" s="18">
        <v>9.7799999999999998E-2</v>
      </c>
      <c r="I6" s="16"/>
    </row>
    <row r="7" spans="2:9" ht="16.5" x14ac:dyDescent="0.35">
      <c r="B7" s="9" t="s">
        <v>376</v>
      </c>
      <c r="C7" s="9" t="s">
        <v>377</v>
      </c>
      <c r="D7" s="9" t="s">
        <v>499</v>
      </c>
      <c r="E7" s="11">
        <v>420000</v>
      </c>
      <c r="F7" s="11">
        <v>423.79</v>
      </c>
      <c r="G7" s="18">
        <v>9.6600000000000005E-2</v>
      </c>
      <c r="I7" s="16"/>
    </row>
    <row r="8" spans="2:9" ht="16.5" x14ac:dyDescent="0.35">
      <c r="B8" s="9" t="s">
        <v>378</v>
      </c>
      <c r="C8" s="9" t="s">
        <v>379</v>
      </c>
      <c r="D8" s="9" t="s">
        <v>499</v>
      </c>
      <c r="E8" s="11">
        <v>420000</v>
      </c>
      <c r="F8" s="11">
        <v>423.54</v>
      </c>
      <c r="G8" s="18">
        <v>9.6500000000000002E-2</v>
      </c>
      <c r="I8" s="16"/>
    </row>
    <row r="9" spans="2:9" ht="16.5" x14ac:dyDescent="0.35">
      <c r="B9" s="9" t="s">
        <v>413</v>
      </c>
      <c r="C9" s="9" t="s">
        <v>414</v>
      </c>
      <c r="D9" s="9" t="s">
        <v>500</v>
      </c>
      <c r="E9" s="11">
        <v>330000</v>
      </c>
      <c r="F9" s="11">
        <v>416.94</v>
      </c>
      <c r="G9" s="18">
        <v>9.5000000000000001E-2</v>
      </c>
      <c r="I9" s="16"/>
    </row>
    <row r="10" spans="2:9" ht="16.5" x14ac:dyDescent="0.35">
      <c r="B10" s="9" t="s">
        <v>172</v>
      </c>
      <c r="C10" s="9" t="s">
        <v>173</v>
      </c>
      <c r="D10" s="9" t="s">
        <v>490</v>
      </c>
      <c r="E10" s="11">
        <v>400000</v>
      </c>
      <c r="F10" s="11">
        <v>401.06</v>
      </c>
      <c r="G10" s="18">
        <v>9.1400000000000009E-2</v>
      </c>
      <c r="I10" s="16"/>
    </row>
    <row r="11" spans="2:9" ht="16.5" x14ac:dyDescent="0.35">
      <c r="B11" s="9" t="s">
        <v>386</v>
      </c>
      <c r="C11" s="9" t="s">
        <v>381</v>
      </c>
      <c r="D11" s="9" t="s">
        <v>493</v>
      </c>
      <c r="E11" s="11">
        <v>400000</v>
      </c>
      <c r="F11" s="11">
        <v>400.03</v>
      </c>
      <c r="G11" s="18">
        <v>9.1199999999999989E-2</v>
      </c>
      <c r="I11" s="16"/>
    </row>
    <row r="12" spans="2:9" ht="16.5" x14ac:dyDescent="0.35">
      <c r="B12" s="9" t="s">
        <v>382</v>
      </c>
      <c r="C12" s="9" t="s">
        <v>383</v>
      </c>
      <c r="D12" s="9" t="s">
        <v>499</v>
      </c>
      <c r="E12" s="11">
        <v>360000</v>
      </c>
      <c r="F12" s="11">
        <v>369.12</v>
      </c>
      <c r="G12" s="18">
        <v>8.4100000000000008E-2</v>
      </c>
      <c r="I12" s="16"/>
    </row>
    <row r="13" spans="2:9" ht="16.5" x14ac:dyDescent="0.35">
      <c r="B13" s="9" t="s">
        <v>369</v>
      </c>
      <c r="C13" s="9" t="s">
        <v>370</v>
      </c>
      <c r="D13" s="9" t="s">
        <v>368</v>
      </c>
      <c r="E13" s="11">
        <v>350000</v>
      </c>
      <c r="F13" s="11">
        <v>362.26</v>
      </c>
      <c r="G13" s="18">
        <v>8.2599999999999993E-2</v>
      </c>
      <c r="I13" s="16"/>
    </row>
    <row r="14" spans="2:9" ht="16.5" x14ac:dyDescent="0.35">
      <c r="B14" s="9" t="s">
        <v>478</v>
      </c>
      <c r="C14" s="9" t="s">
        <v>309</v>
      </c>
      <c r="D14" s="9" t="s">
        <v>494</v>
      </c>
      <c r="E14" s="11">
        <v>350000</v>
      </c>
      <c r="F14" s="11">
        <v>350.43</v>
      </c>
      <c r="G14" s="18">
        <v>7.9899999999999999E-2</v>
      </c>
      <c r="I14" s="16"/>
    </row>
    <row r="15" spans="2:9" ht="16.5" x14ac:dyDescent="0.35">
      <c r="B15" s="9" t="s">
        <v>374</v>
      </c>
      <c r="C15" s="9" t="s">
        <v>88</v>
      </c>
      <c r="D15" s="9" t="s">
        <v>180</v>
      </c>
      <c r="E15" s="11">
        <v>340000</v>
      </c>
      <c r="F15" s="11">
        <v>340.17</v>
      </c>
      <c r="G15" s="18">
        <v>7.7499999999999999E-2</v>
      </c>
      <c r="I15" s="16"/>
    </row>
    <row r="16" spans="2:9" ht="16.5" x14ac:dyDescent="0.35">
      <c r="B16" s="9" t="s">
        <v>177</v>
      </c>
      <c r="C16" s="9" t="s">
        <v>178</v>
      </c>
      <c r="D16" s="9" t="s">
        <v>146</v>
      </c>
      <c r="E16" s="11">
        <v>300000</v>
      </c>
      <c r="F16" s="11">
        <v>304.29000000000002</v>
      </c>
      <c r="G16" s="18">
        <v>6.9400000000000003E-2</v>
      </c>
      <c r="I16" s="16"/>
    </row>
    <row r="17" spans="2:9" ht="16.5" x14ac:dyDescent="0.35">
      <c r="B17" s="9" t="s">
        <v>0</v>
      </c>
      <c r="C17" s="9" t="s">
        <v>90</v>
      </c>
      <c r="D17" s="9" t="s">
        <v>0</v>
      </c>
      <c r="E17" s="10"/>
      <c r="F17" s="11">
        <f>SUM(F6:F16)</f>
        <v>4220.6600000000008</v>
      </c>
      <c r="G17" s="18">
        <v>0.96199999999999986</v>
      </c>
      <c r="I17" s="16"/>
    </row>
    <row r="18" spans="2:9" ht="16.5" x14ac:dyDescent="0.35">
      <c r="B18" s="9" t="s">
        <v>0</v>
      </c>
      <c r="C18" s="9" t="s">
        <v>185</v>
      </c>
      <c r="D18" s="9" t="s">
        <v>0</v>
      </c>
      <c r="E18" s="10"/>
      <c r="F18" s="10"/>
      <c r="G18" s="18"/>
      <c r="I18" s="16"/>
    </row>
    <row r="19" spans="2:9" ht="16.5" x14ac:dyDescent="0.35">
      <c r="B19" s="9" t="s">
        <v>154</v>
      </c>
      <c r="C19" s="9" t="s">
        <v>186</v>
      </c>
      <c r="D19" s="10"/>
      <c r="E19" s="9" t="s">
        <v>154</v>
      </c>
      <c r="F19" s="11">
        <v>37.74</v>
      </c>
      <c r="G19" s="18">
        <v>8.6E-3</v>
      </c>
      <c r="I19" s="16"/>
    </row>
    <row r="20" spans="2:9" ht="16.5" x14ac:dyDescent="0.35">
      <c r="B20" s="9" t="s">
        <v>0</v>
      </c>
      <c r="C20" s="9" t="s">
        <v>90</v>
      </c>
      <c r="D20" s="9" t="s">
        <v>0</v>
      </c>
      <c r="E20" s="9" t="s">
        <v>154</v>
      </c>
      <c r="F20" s="11">
        <v>37.74</v>
      </c>
      <c r="G20" s="18">
        <v>8.6E-3</v>
      </c>
      <c r="I20" s="16"/>
    </row>
    <row r="21" spans="2:9" ht="16.5" x14ac:dyDescent="0.35">
      <c r="B21" s="10"/>
      <c r="C21" s="9" t="s">
        <v>155</v>
      </c>
      <c r="D21" s="10"/>
      <c r="E21" s="10"/>
      <c r="F21" s="9" t="s">
        <v>0</v>
      </c>
      <c r="G21" s="18"/>
      <c r="I21" s="16"/>
    </row>
    <row r="22" spans="2:9" ht="16.5" x14ac:dyDescent="0.35">
      <c r="B22" s="10"/>
      <c r="C22" s="9" t="s">
        <v>156</v>
      </c>
      <c r="D22" s="10"/>
      <c r="E22" s="10"/>
      <c r="F22" s="11">
        <v>128.38999999999999</v>
      </c>
      <c r="G22" s="18">
        <v>2.9399999999999999E-2</v>
      </c>
      <c r="I22" s="16"/>
    </row>
    <row r="23" spans="2:9" ht="16.5" x14ac:dyDescent="0.35">
      <c r="B23" s="10"/>
      <c r="C23" s="9" t="s">
        <v>90</v>
      </c>
      <c r="D23" s="10"/>
      <c r="E23" s="10"/>
      <c r="F23" s="11">
        <v>128.38999999999999</v>
      </c>
      <c r="G23" s="18">
        <v>2.9399999999999999E-2</v>
      </c>
      <c r="I23" s="16"/>
    </row>
    <row r="24" spans="2:9" ht="16.5" x14ac:dyDescent="0.35">
      <c r="B24" s="10"/>
      <c r="C24" s="9" t="s">
        <v>157</v>
      </c>
      <c r="D24" s="10"/>
      <c r="E24" s="10"/>
      <c r="F24" s="11">
        <v>4386.79</v>
      </c>
      <c r="G24" s="18">
        <v>1</v>
      </c>
      <c r="I24" s="16"/>
    </row>
    <row r="26" spans="2:9" x14ac:dyDescent="0.25">
      <c r="C26" s="31" t="s">
        <v>522</v>
      </c>
      <c r="D26" s="31"/>
      <c r="E26" s="31"/>
      <c r="F26" s="15"/>
      <c r="G26" s="16"/>
    </row>
    <row r="27" spans="2:9" x14ac:dyDescent="0.25">
      <c r="C27" s="31" t="s">
        <v>523</v>
      </c>
      <c r="D27" s="31"/>
      <c r="E27" s="31"/>
    </row>
    <row r="30" spans="2:9" x14ac:dyDescent="0.25">
      <c r="C30" s="31" t="s">
        <v>525</v>
      </c>
      <c r="D30" s="31"/>
      <c r="E30" s="31"/>
    </row>
  </sheetData>
  <pageMargins left="0.78749999999999998" right="0.78749999999999998" top="1.052778" bottom="1.052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6"/>
  <sheetViews>
    <sheetView workbookViewId="0">
      <selection activeCell="H25" sqref="H25"/>
    </sheetView>
  </sheetViews>
  <sheetFormatPr defaultRowHeight="15" x14ac:dyDescent="0.25"/>
  <cols>
    <col min="1" max="1" width="1" customWidth="1"/>
    <col min="2" max="2" width="11.28515625" bestFit="1" customWidth="1"/>
    <col min="3" max="3" width="38.7109375" bestFit="1" customWidth="1"/>
    <col min="4" max="4" width="15" customWidth="1"/>
    <col min="5" max="5" width="10.42578125" bestFit="1" customWidth="1"/>
    <col min="6" max="6" width="11.5703125" bestFit="1" customWidth="1"/>
    <col min="7" max="7" width="8.85546875" bestFit="1" customWidth="1"/>
    <col min="8" max="8" width="10.28515625" bestFit="1" customWidth="1"/>
    <col min="9" max="9" width="12.42578125" bestFit="1" customWidth="1"/>
    <col min="10" max="10" width="10.28515625" bestFit="1" customWidth="1"/>
    <col min="11" max="11" width="12.42578125" bestFit="1" customWidth="1"/>
    <col min="12" max="12" width="10.28515625" bestFit="1" customWidth="1"/>
    <col min="13" max="13" width="12.42578125" bestFit="1" customWidth="1"/>
    <col min="14" max="14" width="10.28515625" bestFit="1" customWidth="1"/>
    <col min="15" max="15" width="12.42578125" bestFit="1" customWidth="1"/>
  </cols>
  <sheetData>
    <row r="1" spans="2:9" ht="16.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9" ht="15.75" x14ac:dyDescent="0.25">
      <c r="B2" s="3"/>
      <c r="C2" s="22" t="s">
        <v>519</v>
      </c>
      <c r="D2" s="3"/>
      <c r="E2" s="37"/>
      <c r="F2" s="37"/>
      <c r="G2" s="37"/>
    </row>
    <row r="3" spans="2:9" ht="16.5" x14ac:dyDescent="0.35">
      <c r="C3" s="2" t="s">
        <v>6</v>
      </c>
    </row>
    <row r="4" spans="2:9" ht="39" x14ac:dyDescent="0.25">
      <c r="B4" s="5" t="s">
        <v>7</v>
      </c>
      <c r="C4" s="6" t="s">
        <v>8</v>
      </c>
      <c r="D4" s="6" t="s">
        <v>9</v>
      </c>
      <c r="E4" s="5" t="s">
        <v>10</v>
      </c>
      <c r="F4" s="7" t="s">
        <v>510</v>
      </c>
      <c r="G4" s="8" t="s">
        <v>11</v>
      </c>
    </row>
    <row r="5" spans="2:9" ht="16.5" x14ac:dyDescent="0.35">
      <c r="B5" s="9" t="s">
        <v>0</v>
      </c>
      <c r="C5" s="9" t="s">
        <v>479</v>
      </c>
      <c r="D5" s="9" t="s">
        <v>0</v>
      </c>
      <c r="E5" s="10"/>
      <c r="F5" s="10"/>
      <c r="G5" s="10"/>
    </row>
    <row r="6" spans="2:9" ht="16.5" x14ac:dyDescent="0.35">
      <c r="B6" s="9" t="s">
        <v>480</v>
      </c>
      <c r="C6" s="9" t="s">
        <v>481</v>
      </c>
      <c r="D6" s="9" t="s">
        <v>489</v>
      </c>
      <c r="E6" s="11">
        <v>800000</v>
      </c>
      <c r="F6" s="11">
        <v>767.75</v>
      </c>
      <c r="G6" s="18">
        <v>0.3453</v>
      </c>
      <c r="I6" s="16"/>
    </row>
    <row r="7" spans="2:9" ht="16.5" x14ac:dyDescent="0.35">
      <c r="B7" s="9" t="s">
        <v>482</v>
      </c>
      <c r="C7" s="9" t="s">
        <v>483</v>
      </c>
      <c r="D7" s="9" t="s">
        <v>489</v>
      </c>
      <c r="E7" s="11">
        <v>500000</v>
      </c>
      <c r="F7" s="11">
        <v>487.38</v>
      </c>
      <c r="G7" s="18">
        <v>0.21920000000000001</v>
      </c>
      <c r="I7" s="16"/>
    </row>
    <row r="8" spans="2:9" ht="16.5" x14ac:dyDescent="0.35">
      <c r="B8" s="9" t="s">
        <v>484</v>
      </c>
      <c r="C8" s="9" t="s">
        <v>485</v>
      </c>
      <c r="D8" s="9" t="s">
        <v>489</v>
      </c>
      <c r="E8" s="11">
        <v>53200</v>
      </c>
      <c r="F8" s="11">
        <v>50.26</v>
      </c>
      <c r="G8" s="18">
        <v>2.2599999999999999E-2</v>
      </c>
      <c r="I8" s="16"/>
    </row>
    <row r="9" spans="2:9" ht="16.5" x14ac:dyDescent="0.35">
      <c r="B9" s="9" t="s">
        <v>486</v>
      </c>
      <c r="C9" s="9" t="s">
        <v>501</v>
      </c>
      <c r="D9" s="9" t="s">
        <v>489</v>
      </c>
      <c r="E9" s="11">
        <v>16700</v>
      </c>
      <c r="F9" s="11">
        <v>15.66</v>
      </c>
      <c r="G9" s="18">
        <v>6.9999999999999993E-3</v>
      </c>
      <c r="I9" s="16"/>
    </row>
    <row r="10" spans="2:9" ht="16.5" x14ac:dyDescent="0.35">
      <c r="B10" s="9" t="s">
        <v>0</v>
      </c>
      <c r="C10" s="9" t="s">
        <v>90</v>
      </c>
      <c r="D10" s="9" t="s">
        <v>0</v>
      </c>
      <c r="E10" s="10"/>
      <c r="F10" s="11">
        <v>1321.05</v>
      </c>
      <c r="G10" s="18">
        <v>0.59409999999999996</v>
      </c>
      <c r="I10" s="16"/>
    </row>
    <row r="11" spans="2:9" ht="16.5" x14ac:dyDescent="0.35">
      <c r="B11" s="9" t="s">
        <v>0</v>
      </c>
      <c r="C11" s="9" t="s">
        <v>130</v>
      </c>
      <c r="D11" s="9" t="s">
        <v>0</v>
      </c>
      <c r="E11" s="10"/>
      <c r="F11" s="10"/>
      <c r="G11" s="18"/>
      <c r="I11" s="16"/>
    </row>
    <row r="12" spans="2:9" ht="16.5" x14ac:dyDescent="0.35">
      <c r="B12" s="9" t="s">
        <v>131</v>
      </c>
      <c r="C12" s="9" t="s">
        <v>132</v>
      </c>
      <c r="D12" s="9" t="s">
        <v>489</v>
      </c>
      <c r="E12" s="11">
        <v>1000000</v>
      </c>
      <c r="F12" s="11">
        <v>985.63</v>
      </c>
      <c r="G12" s="18">
        <v>0.44319999999999998</v>
      </c>
      <c r="I12" s="16"/>
    </row>
    <row r="13" spans="2:9" ht="16.5" x14ac:dyDescent="0.35">
      <c r="B13" s="9" t="s">
        <v>0</v>
      </c>
      <c r="C13" s="9" t="s">
        <v>90</v>
      </c>
      <c r="D13" s="9" t="s">
        <v>0</v>
      </c>
      <c r="E13" s="10"/>
      <c r="F13" s="11">
        <v>985.63</v>
      </c>
      <c r="G13" s="18">
        <v>0.44319999999999998</v>
      </c>
      <c r="I13" s="16"/>
    </row>
    <row r="14" spans="2:9" ht="16.5" x14ac:dyDescent="0.35">
      <c r="B14" s="9" t="s">
        <v>0</v>
      </c>
      <c r="C14" s="9" t="s">
        <v>185</v>
      </c>
      <c r="D14" s="9" t="s">
        <v>0</v>
      </c>
      <c r="E14" s="10"/>
      <c r="F14" s="10"/>
      <c r="G14" s="18"/>
      <c r="I14" s="16"/>
    </row>
    <row r="15" spans="2:9" ht="16.5" x14ac:dyDescent="0.35">
      <c r="B15" s="9" t="s">
        <v>154</v>
      </c>
      <c r="C15" s="9" t="s">
        <v>186</v>
      </c>
      <c r="D15" s="10"/>
      <c r="E15" s="9" t="s">
        <v>154</v>
      </c>
      <c r="F15" s="11">
        <v>148.72999999999999</v>
      </c>
      <c r="G15" s="18">
        <v>6.6900000000000001E-2</v>
      </c>
      <c r="I15" s="16"/>
    </row>
    <row r="16" spans="2:9" ht="16.5" x14ac:dyDescent="0.35">
      <c r="B16" s="9" t="s">
        <v>0</v>
      </c>
      <c r="C16" s="9" t="s">
        <v>90</v>
      </c>
      <c r="D16" s="9" t="s">
        <v>0</v>
      </c>
      <c r="E16" s="9" t="s">
        <v>154</v>
      </c>
      <c r="F16" s="11">
        <v>148.72999999999999</v>
      </c>
      <c r="G16" s="18">
        <v>6.6900000000000001E-2</v>
      </c>
      <c r="I16" s="16"/>
    </row>
    <row r="17" spans="2:9" ht="16.5" x14ac:dyDescent="0.35">
      <c r="B17" s="10"/>
      <c r="C17" s="9" t="s">
        <v>155</v>
      </c>
      <c r="D17" s="10"/>
      <c r="E17" s="10"/>
      <c r="F17" s="9" t="s">
        <v>0</v>
      </c>
      <c r="G17" s="18"/>
      <c r="I17" s="16"/>
    </row>
    <row r="18" spans="2:9" ht="16.5" x14ac:dyDescent="0.35">
      <c r="B18" s="10"/>
      <c r="C18" s="9" t="s">
        <v>156</v>
      </c>
      <c r="D18" s="10"/>
      <c r="E18" s="10"/>
      <c r="F18" s="11">
        <v>-231.72</v>
      </c>
      <c r="G18" s="18">
        <v>-0.1042</v>
      </c>
      <c r="I18" s="16"/>
    </row>
    <row r="19" spans="2:9" ht="16.5" x14ac:dyDescent="0.35">
      <c r="B19" s="10"/>
      <c r="C19" s="9" t="s">
        <v>90</v>
      </c>
      <c r="D19" s="10"/>
      <c r="E19" s="10"/>
      <c r="F19" s="11">
        <v>-231.72</v>
      </c>
      <c r="G19" s="18">
        <v>-0.1042</v>
      </c>
      <c r="I19" s="16"/>
    </row>
    <row r="20" spans="2:9" ht="16.5" x14ac:dyDescent="0.35">
      <c r="B20" s="10"/>
      <c r="C20" s="9" t="s">
        <v>157</v>
      </c>
      <c r="D20" s="10"/>
      <c r="E20" s="10"/>
      <c r="F20" s="11">
        <v>2223.69</v>
      </c>
      <c r="G20" s="18">
        <v>1</v>
      </c>
      <c r="I20" s="16"/>
    </row>
    <row r="22" spans="2:9" x14ac:dyDescent="0.25">
      <c r="C22" s="32" t="s">
        <v>522</v>
      </c>
      <c r="D22" s="32"/>
      <c r="E22" s="32"/>
      <c r="F22" s="32"/>
      <c r="G22" s="16"/>
    </row>
    <row r="23" spans="2:9" x14ac:dyDescent="0.25">
      <c r="C23" s="32" t="s">
        <v>523</v>
      </c>
      <c r="D23" s="32"/>
      <c r="E23" s="32"/>
      <c r="F23" s="32"/>
    </row>
    <row r="24" spans="2:9" x14ac:dyDescent="0.25">
      <c r="C24" s="32" t="s">
        <v>524</v>
      </c>
      <c r="D24" s="32"/>
      <c r="E24" s="32"/>
      <c r="F24" s="32"/>
    </row>
    <row r="25" spans="2:9" x14ac:dyDescent="0.25">
      <c r="C25" s="31"/>
      <c r="D25" s="31"/>
      <c r="E25" s="31"/>
      <c r="F25" s="31"/>
    </row>
    <row r="26" spans="2:9" x14ac:dyDescent="0.25">
      <c r="C26" s="32" t="s">
        <v>525</v>
      </c>
      <c r="D26" s="32"/>
      <c r="E26" s="32"/>
      <c r="F26" s="32"/>
    </row>
  </sheetData>
  <mergeCells count="1">
    <mergeCell ref="E2:G2"/>
  </mergeCells>
  <pageMargins left="0.78749999999999998" right="0.78749999999999998" top="1.052778" bottom="1.052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5"/>
  <sheetViews>
    <sheetView workbookViewId="0">
      <selection activeCell="C108" sqref="C108"/>
    </sheetView>
  </sheetViews>
  <sheetFormatPr defaultRowHeight="15" x14ac:dyDescent="0.25"/>
  <cols>
    <col min="1" max="1" width="1" customWidth="1"/>
    <col min="2" max="2" width="11.85546875" bestFit="1" customWidth="1"/>
    <col min="3" max="3" width="72.7109375" bestFit="1" customWidth="1"/>
    <col min="4" max="4" width="22.5703125" bestFit="1" customWidth="1"/>
    <col min="5" max="5" width="11.85546875" bestFit="1" customWidth="1"/>
    <col min="6" max="6" width="11.5703125" bestFit="1" customWidth="1"/>
    <col min="7" max="7" width="8.85546875" bestFit="1" customWidth="1"/>
    <col min="8" max="8" width="10.28515625" bestFit="1" customWidth="1"/>
    <col min="9" max="9" width="12.42578125" bestFit="1" customWidth="1"/>
    <col min="10" max="10" width="10.28515625" bestFit="1" customWidth="1"/>
    <col min="11" max="11" width="12.42578125" bestFit="1" customWidth="1"/>
    <col min="12" max="12" width="10.28515625" bestFit="1" customWidth="1"/>
    <col min="13" max="13" width="12.42578125" bestFit="1" customWidth="1"/>
    <col min="14" max="14" width="10.28515625" bestFit="1" customWidth="1"/>
    <col min="15" max="15" width="12.42578125" bestFit="1" customWidth="1"/>
  </cols>
  <sheetData>
    <row r="1" spans="2:9" ht="16.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9" ht="15.75" x14ac:dyDescent="0.25">
      <c r="B2" s="13"/>
      <c r="C2" s="22" t="s">
        <v>259</v>
      </c>
      <c r="D2" s="13"/>
      <c r="E2" s="38"/>
      <c r="F2" s="38"/>
      <c r="G2" s="38"/>
    </row>
    <row r="3" spans="2:9" ht="16.5" x14ac:dyDescent="0.35">
      <c r="C3" s="2" t="s">
        <v>6</v>
      </c>
    </row>
    <row r="4" spans="2:9" ht="39" x14ac:dyDescent="0.25">
      <c r="B4" s="5" t="s">
        <v>7</v>
      </c>
      <c r="C4" s="6" t="s">
        <v>8</v>
      </c>
      <c r="D4" s="6" t="s">
        <v>9</v>
      </c>
      <c r="E4" s="5" t="s">
        <v>10</v>
      </c>
      <c r="F4" s="7" t="s">
        <v>510</v>
      </c>
      <c r="G4" s="8" t="s">
        <v>11</v>
      </c>
    </row>
    <row r="5" spans="2:9" ht="16.5" x14ac:dyDescent="0.35">
      <c r="B5" s="9" t="s">
        <v>0</v>
      </c>
      <c r="C5" s="9" t="s">
        <v>188</v>
      </c>
      <c r="D5" s="9" t="s">
        <v>0</v>
      </c>
      <c r="E5" s="10"/>
      <c r="F5" s="10"/>
      <c r="G5" s="10"/>
    </row>
    <row r="6" spans="2:9" ht="16.5" x14ac:dyDescent="0.35">
      <c r="B6" s="9" t="s">
        <v>260</v>
      </c>
      <c r="C6" s="9" t="s">
        <v>261</v>
      </c>
      <c r="D6" s="9" t="s">
        <v>249</v>
      </c>
      <c r="E6" s="11">
        <v>400400</v>
      </c>
      <c r="F6" s="11">
        <v>2115.71</v>
      </c>
      <c r="G6" s="18">
        <v>6.0400000000000002E-2</v>
      </c>
      <c r="I6" s="17"/>
    </row>
    <row r="7" spans="2:9" ht="16.5" x14ac:dyDescent="0.35">
      <c r="B7" s="9" t="s">
        <v>262</v>
      </c>
      <c r="C7" s="9" t="s">
        <v>66</v>
      </c>
      <c r="D7" s="9" t="s">
        <v>198</v>
      </c>
      <c r="E7" s="11">
        <v>297000</v>
      </c>
      <c r="F7" s="11">
        <v>1903.77</v>
      </c>
      <c r="G7" s="18">
        <v>5.4299999999999994E-2</v>
      </c>
      <c r="I7" s="17"/>
    </row>
    <row r="8" spans="2:9" ht="16.5" x14ac:dyDescent="0.35">
      <c r="B8" s="9" t="s">
        <v>197</v>
      </c>
      <c r="C8" s="9" t="s">
        <v>54</v>
      </c>
      <c r="D8" s="9" t="s">
        <v>198</v>
      </c>
      <c r="E8" s="11">
        <v>91500</v>
      </c>
      <c r="F8" s="11">
        <v>1723.17</v>
      </c>
      <c r="G8" s="18">
        <v>4.9200000000000001E-2</v>
      </c>
      <c r="I8" s="17"/>
    </row>
    <row r="9" spans="2:9" ht="16.5" x14ac:dyDescent="0.35">
      <c r="B9" s="9" t="s">
        <v>263</v>
      </c>
      <c r="C9" s="9" t="s">
        <v>264</v>
      </c>
      <c r="D9" s="9" t="s">
        <v>190</v>
      </c>
      <c r="E9" s="11">
        <v>591000</v>
      </c>
      <c r="F9" s="11">
        <v>1456.22</v>
      </c>
      <c r="G9" s="18">
        <v>4.1500000000000002E-2</v>
      </c>
      <c r="I9" s="17"/>
    </row>
    <row r="10" spans="2:9" ht="16.5" x14ac:dyDescent="0.35">
      <c r="B10" s="9" t="s">
        <v>265</v>
      </c>
      <c r="C10" s="9" t="s">
        <v>266</v>
      </c>
      <c r="D10" s="9" t="s">
        <v>267</v>
      </c>
      <c r="E10" s="11">
        <v>336600</v>
      </c>
      <c r="F10" s="11">
        <v>1378.55</v>
      </c>
      <c r="G10" s="18">
        <v>3.9300000000000002E-2</v>
      </c>
      <c r="I10" s="17"/>
    </row>
    <row r="11" spans="2:9" ht="16.5" x14ac:dyDescent="0.35">
      <c r="B11" s="9" t="s">
        <v>268</v>
      </c>
      <c r="C11" s="9" t="s">
        <v>269</v>
      </c>
      <c r="D11" s="9" t="s">
        <v>214</v>
      </c>
      <c r="E11" s="11">
        <v>31750</v>
      </c>
      <c r="F11" s="11">
        <v>1150.05</v>
      </c>
      <c r="G11" s="18">
        <v>3.2799999999999996E-2</v>
      </c>
      <c r="I11" s="17"/>
    </row>
    <row r="12" spans="2:9" ht="16.5" x14ac:dyDescent="0.35">
      <c r="B12" s="9" t="s">
        <v>270</v>
      </c>
      <c r="C12" s="9" t="s">
        <v>271</v>
      </c>
      <c r="D12" s="9" t="s">
        <v>198</v>
      </c>
      <c r="E12" s="11">
        <v>630000</v>
      </c>
      <c r="F12" s="11">
        <v>1091.1600000000001</v>
      </c>
      <c r="G12" s="18">
        <v>3.1099999999999999E-2</v>
      </c>
      <c r="I12" s="17"/>
    </row>
    <row r="13" spans="2:9" ht="16.5" x14ac:dyDescent="0.35">
      <c r="B13" s="9" t="s">
        <v>272</v>
      </c>
      <c r="C13" s="9" t="s">
        <v>273</v>
      </c>
      <c r="D13" s="9" t="s">
        <v>233</v>
      </c>
      <c r="E13" s="11">
        <v>83600</v>
      </c>
      <c r="F13" s="11">
        <v>1055.49</v>
      </c>
      <c r="G13" s="18">
        <v>3.0099999999999998E-2</v>
      </c>
      <c r="I13" s="17"/>
    </row>
    <row r="14" spans="2:9" ht="16.5" x14ac:dyDescent="0.35">
      <c r="B14" s="9" t="s">
        <v>274</v>
      </c>
      <c r="C14" s="9" t="s">
        <v>275</v>
      </c>
      <c r="D14" s="9" t="s">
        <v>276</v>
      </c>
      <c r="E14" s="11">
        <v>138000</v>
      </c>
      <c r="F14" s="11">
        <v>887.69</v>
      </c>
      <c r="G14" s="18">
        <v>2.53E-2</v>
      </c>
      <c r="I14" s="17"/>
    </row>
    <row r="15" spans="2:9" ht="16.5" x14ac:dyDescent="0.35">
      <c r="B15" s="9" t="s">
        <v>277</v>
      </c>
      <c r="C15" s="9" t="s">
        <v>278</v>
      </c>
      <c r="D15" s="9" t="s">
        <v>190</v>
      </c>
      <c r="E15" s="11">
        <v>884000</v>
      </c>
      <c r="F15" s="11">
        <v>843.34</v>
      </c>
      <c r="G15" s="18">
        <v>2.41E-2</v>
      </c>
      <c r="I15" s="17"/>
    </row>
    <row r="16" spans="2:9" ht="16.5" x14ac:dyDescent="0.35">
      <c r="B16" s="9" t="s">
        <v>279</v>
      </c>
      <c r="C16" s="9" t="s">
        <v>280</v>
      </c>
      <c r="D16" s="9" t="s">
        <v>196</v>
      </c>
      <c r="E16" s="11">
        <v>500000</v>
      </c>
      <c r="F16" s="11">
        <v>837</v>
      </c>
      <c r="G16" s="18">
        <v>2.3900000000000001E-2</v>
      </c>
      <c r="I16" s="17"/>
    </row>
    <row r="17" spans="2:9" ht="16.5" x14ac:dyDescent="0.35">
      <c r="B17" s="9" t="s">
        <v>281</v>
      </c>
      <c r="C17" s="9" t="s">
        <v>282</v>
      </c>
      <c r="D17" s="9" t="s">
        <v>283</v>
      </c>
      <c r="E17" s="11">
        <v>67200</v>
      </c>
      <c r="F17" s="11">
        <v>747.3</v>
      </c>
      <c r="G17" s="18">
        <v>2.1299999999999999E-2</v>
      </c>
      <c r="I17" s="17"/>
    </row>
    <row r="18" spans="2:9" ht="16.5" x14ac:dyDescent="0.35">
      <c r="B18" s="9" t="s">
        <v>202</v>
      </c>
      <c r="C18" s="9" t="s">
        <v>27</v>
      </c>
      <c r="D18" s="9" t="s">
        <v>203</v>
      </c>
      <c r="E18" s="11">
        <v>71000</v>
      </c>
      <c r="F18" s="11">
        <v>683.94</v>
      </c>
      <c r="G18" s="18">
        <v>1.95E-2</v>
      </c>
      <c r="I18" s="17"/>
    </row>
    <row r="19" spans="2:9" ht="16.5" x14ac:dyDescent="0.35">
      <c r="B19" s="9" t="s">
        <v>284</v>
      </c>
      <c r="C19" s="9" t="s">
        <v>285</v>
      </c>
      <c r="D19" s="9" t="s">
        <v>198</v>
      </c>
      <c r="E19" s="11">
        <v>1056000</v>
      </c>
      <c r="F19" s="11">
        <v>619.87</v>
      </c>
      <c r="G19" s="18">
        <v>1.77E-2</v>
      </c>
      <c r="I19" s="17"/>
    </row>
    <row r="20" spans="2:9" ht="16.5" x14ac:dyDescent="0.35">
      <c r="B20" s="9" t="s">
        <v>286</v>
      </c>
      <c r="C20" s="9" t="s">
        <v>287</v>
      </c>
      <c r="D20" s="9" t="s">
        <v>198</v>
      </c>
      <c r="E20" s="11">
        <v>136500</v>
      </c>
      <c r="F20" s="11">
        <v>594.25</v>
      </c>
      <c r="G20" s="18">
        <v>1.7000000000000001E-2</v>
      </c>
      <c r="I20" s="17"/>
    </row>
    <row r="21" spans="2:9" ht="16.5" x14ac:dyDescent="0.35">
      <c r="B21" s="9" t="s">
        <v>288</v>
      </c>
      <c r="C21" s="9" t="s">
        <v>289</v>
      </c>
      <c r="D21" s="9" t="s">
        <v>209</v>
      </c>
      <c r="E21" s="11">
        <v>720000</v>
      </c>
      <c r="F21" s="11">
        <v>579.96</v>
      </c>
      <c r="G21" s="18">
        <v>1.6500000000000001E-2</v>
      </c>
      <c r="I21" s="17"/>
    </row>
    <row r="22" spans="2:9" ht="16.5" x14ac:dyDescent="0.35">
      <c r="B22" s="9" t="s">
        <v>290</v>
      </c>
      <c r="C22" s="9" t="s">
        <v>291</v>
      </c>
      <c r="D22" s="9" t="s">
        <v>240</v>
      </c>
      <c r="E22" s="11">
        <v>255000</v>
      </c>
      <c r="F22" s="11">
        <v>568.91</v>
      </c>
      <c r="G22" s="18">
        <v>1.6200000000000003E-2</v>
      </c>
      <c r="I22" s="17"/>
    </row>
    <row r="23" spans="2:9" ht="16.5" x14ac:dyDescent="0.35">
      <c r="B23" s="9" t="s">
        <v>292</v>
      </c>
      <c r="C23" s="9" t="s">
        <v>293</v>
      </c>
      <c r="D23" s="9" t="s">
        <v>294</v>
      </c>
      <c r="E23" s="11">
        <v>171000</v>
      </c>
      <c r="F23" s="11">
        <v>555.75</v>
      </c>
      <c r="G23" s="18">
        <v>1.5900000000000001E-2</v>
      </c>
      <c r="I23" s="17"/>
    </row>
    <row r="24" spans="2:9" ht="16.5" x14ac:dyDescent="0.35">
      <c r="B24" s="9" t="s">
        <v>295</v>
      </c>
      <c r="C24" s="9" t="s">
        <v>296</v>
      </c>
      <c r="D24" s="9" t="s">
        <v>283</v>
      </c>
      <c r="E24" s="11">
        <v>124000</v>
      </c>
      <c r="F24" s="11">
        <v>525.26</v>
      </c>
      <c r="G24" s="18">
        <v>1.4999999999999999E-2</v>
      </c>
      <c r="I24" s="17"/>
    </row>
    <row r="25" spans="2:9" ht="16.5" x14ac:dyDescent="0.35">
      <c r="B25" s="9" t="s">
        <v>297</v>
      </c>
      <c r="C25" s="9" t="s">
        <v>298</v>
      </c>
      <c r="D25" s="9" t="s">
        <v>299</v>
      </c>
      <c r="E25" s="11">
        <v>47000</v>
      </c>
      <c r="F25" s="11">
        <v>413.51</v>
      </c>
      <c r="G25" s="18">
        <v>1.18E-2</v>
      </c>
      <c r="I25" s="17"/>
    </row>
    <row r="26" spans="2:9" ht="16.5" x14ac:dyDescent="0.35">
      <c r="B26" s="9" t="s">
        <v>300</v>
      </c>
      <c r="C26" s="9" t="s">
        <v>129</v>
      </c>
      <c r="D26" s="9" t="s">
        <v>190</v>
      </c>
      <c r="E26" s="11">
        <v>404000</v>
      </c>
      <c r="F26" s="11">
        <v>385.42</v>
      </c>
      <c r="G26" s="18">
        <v>1.1000000000000001E-2</v>
      </c>
      <c r="I26" s="17"/>
    </row>
    <row r="27" spans="2:9" ht="16.5" x14ac:dyDescent="0.35">
      <c r="B27" s="9" t="s">
        <v>301</v>
      </c>
      <c r="C27" s="9" t="s">
        <v>302</v>
      </c>
      <c r="D27" s="9" t="s">
        <v>203</v>
      </c>
      <c r="E27" s="11">
        <v>225000</v>
      </c>
      <c r="F27" s="11">
        <v>365.18</v>
      </c>
      <c r="G27" s="18">
        <v>1.04E-2</v>
      </c>
      <c r="I27" s="17"/>
    </row>
    <row r="28" spans="2:9" ht="16.5" x14ac:dyDescent="0.35">
      <c r="B28" s="9" t="s">
        <v>207</v>
      </c>
      <c r="C28" s="9" t="s">
        <v>208</v>
      </c>
      <c r="D28" s="9" t="s">
        <v>209</v>
      </c>
      <c r="E28" s="11">
        <v>117250</v>
      </c>
      <c r="F28" s="11">
        <v>349.87</v>
      </c>
      <c r="G28" s="18">
        <v>0.01</v>
      </c>
      <c r="I28" s="17"/>
    </row>
    <row r="29" spans="2:9" ht="16.5" x14ac:dyDescent="0.35">
      <c r="B29" s="9" t="s">
        <v>303</v>
      </c>
      <c r="C29" s="9" t="s">
        <v>304</v>
      </c>
      <c r="D29" s="9" t="s">
        <v>201</v>
      </c>
      <c r="E29" s="11">
        <v>182000</v>
      </c>
      <c r="F29" s="11">
        <v>299.3</v>
      </c>
      <c r="G29" s="18">
        <v>8.5000000000000006E-3</v>
      </c>
      <c r="I29" s="17"/>
    </row>
    <row r="30" spans="2:9" ht="16.5" x14ac:dyDescent="0.35">
      <c r="B30" s="9" t="s">
        <v>305</v>
      </c>
      <c r="C30" s="9" t="s">
        <v>306</v>
      </c>
      <c r="D30" s="9" t="s">
        <v>307</v>
      </c>
      <c r="E30" s="11">
        <v>39000</v>
      </c>
      <c r="F30" s="11">
        <v>297.86</v>
      </c>
      <c r="G30" s="18">
        <v>8.5000000000000006E-3</v>
      </c>
      <c r="I30" s="17"/>
    </row>
    <row r="31" spans="2:9" ht="16.5" x14ac:dyDescent="0.35">
      <c r="B31" s="9" t="s">
        <v>308</v>
      </c>
      <c r="C31" s="9" t="s">
        <v>309</v>
      </c>
      <c r="D31" s="9" t="s">
        <v>310</v>
      </c>
      <c r="E31" s="11">
        <v>57200</v>
      </c>
      <c r="F31" s="11">
        <v>258.08999999999997</v>
      </c>
      <c r="G31" s="18">
        <v>7.4000000000000003E-3</v>
      </c>
      <c r="I31" s="17"/>
    </row>
    <row r="32" spans="2:9" ht="16.5" x14ac:dyDescent="0.35">
      <c r="B32" s="9" t="s">
        <v>311</v>
      </c>
      <c r="C32" s="9" t="s">
        <v>504</v>
      </c>
      <c r="D32" s="9" t="s">
        <v>233</v>
      </c>
      <c r="E32" s="11">
        <v>102500</v>
      </c>
      <c r="F32" s="11">
        <v>256.92</v>
      </c>
      <c r="G32" s="18">
        <v>7.3000000000000001E-3</v>
      </c>
      <c r="I32" s="17"/>
    </row>
    <row r="33" spans="2:9" ht="16.5" x14ac:dyDescent="0.35">
      <c r="B33" s="9" t="s">
        <v>312</v>
      </c>
      <c r="C33" s="9" t="s">
        <v>505</v>
      </c>
      <c r="D33" s="9" t="s">
        <v>299</v>
      </c>
      <c r="E33" s="11">
        <v>374000</v>
      </c>
      <c r="F33" s="11">
        <v>238.8</v>
      </c>
      <c r="G33" s="18">
        <v>6.8000000000000005E-3</v>
      </c>
      <c r="I33" s="17"/>
    </row>
    <row r="34" spans="2:9" ht="16.5" x14ac:dyDescent="0.35">
      <c r="B34" s="9" t="s">
        <v>313</v>
      </c>
      <c r="C34" s="9" t="s">
        <v>314</v>
      </c>
      <c r="D34" s="9" t="s">
        <v>198</v>
      </c>
      <c r="E34" s="11">
        <v>1144000</v>
      </c>
      <c r="F34" s="11">
        <v>227.66</v>
      </c>
      <c r="G34" s="18">
        <v>6.5000000000000006E-3</v>
      </c>
      <c r="I34" s="17"/>
    </row>
    <row r="35" spans="2:9" ht="16.5" x14ac:dyDescent="0.35">
      <c r="B35" s="9" t="s">
        <v>315</v>
      </c>
      <c r="C35" s="9" t="s">
        <v>316</v>
      </c>
      <c r="D35" s="9" t="s">
        <v>249</v>
      </c>
      <c r="E35" s="11">
        <v>32000</v>
      </c>
      <c r="F35" s="11">
        <v>205.44</v>
      </c>
      <c r="G35" s="18">
        <v>5.8999999999999999E-3</v>
      </c>
      <c r="I35" s="17"/>
    </row>
    <row r="36" spans="2:9" ht="16.5" x14ac:dyDescent="0.35">
      <c r="B36" s="9" t="s">
        <v>317</v>
      </c>
      <c r="C36" s="9" t="s">
        <v>318</v>
      </c>
      <c r="D36" s="9" t="s">
        <v>249</v>
      </c>
      <c r="E36" s="11">
        <v>21600</v>
      </c>
      <c r="F36" s="11">
        <v>175.29</v>
      </c>
      <c r="G36" s="18">
        <v>5.0000000000000001E-3</v>
      </c>
      <c r="I36" s="17"/>
    </row>
    <row r="37" spans="2:9" ht="16.5" x14ac:dyDescent="0.35">
      <c r="B37" s="9" t="s">
        <v>220</v>
      </c>
      <c r="C37" s="9" t="s">
        <v>221</v>
      </c>
      <c r="D37" s="9" t="s">
        <v>211</v>
      </c>
      <c r="E37" s="11">
        <v>40005</v>
      </c>
      <c r="F37" s="11">
        <v>130.06</v>
      </c>
      <c r="G37" s="18">
        <v>3.7000000000000002E-3</v>
      </c>
      <c r="I37" s="17"/>
    </row>
    <row r="38" spans="2:9" ht="16.5" x14ac:dyDescent="0.35">
      <c r="B38" s="9" t="s">
        <v>319</v>
      </c>
      <c r="C38" s="9" t="s">
        <v>320</v>
      </c>
      <c r="D38" s="9" t="s">
        <v>201</v>
      </c>
      <c r="E38" s="11">
        <v>62500</v>
      </c>
      <c r="F38" s="11">
        <v>119.69</v>
      </c>
      <c r="G38" s="18">
        <v>3.4000000000000002E-3</v>
      </c>
      <c r="I38" s="17"/>
    </row>
    <row r="39" spans="2:9" ht="16.5" x14ac:dyDescent="0.35">
      <c r="B39" s="9" t="s">
        <v>321</v>
      </c>
      <c r="C39" s="9" t="s">
        <v>322</v>
      </c>
      <c r="D39" s="9" t="s">
        <v>299</v>
      </c>
      <c r="E39" s="11">
        <v>9100</v>
      </c>
      <c r="F39" s="11">
        <v>53.51</v>
      </c>
      <c r="G39" s="18">
        <v>1.5E-3</v>
      </c>
      <c r="I39" s="17"/>
    </row>
    <row r="40" spans="2:9" ht="16.5" x14ac:dyDescent="0.35">
      <c r="B40" s="9" t="s">
        <v>0</v>
      </c>
      <c r="C40" s="9" t="s">
        <v>90</v>
      </c>
      <c r="D40" s="9" t="s">
        <v>0</v>
      </c>
      <c r="E40" s="10"/>
      <c r="F40" s="11">
        <v>23093.99</v>
      </c>
      <c r="G40" s="18">
        <v>0.65879999999999994</v>
      </c>
      <c r="I40" s="17"/>
    </row>
    <row r="41" spans="2:9" ht="16.5" x14ac:dyDescent="0.35">
      <c r="B41" s="9" t="s">
        <v>0</v>
      </c>
      <c r="C41" s="9" t="s">
        <v>323</v>
      </c>
      <c r="D41" s="9" t="s">
        <v>0</v>
      </c>
      <c r="E41" s="10"/>
      <c r="F41" s="10"/>
      <c r="G41" s="18"/>
      <c r="I41" s="17"/>
    </row>
    <row r="42" spans="2:9" ht="16.5" x14ac:dyDescent="0.35">
      <c r="B42" s="9"/>
      <c r="C42" s="9" t="s">
        <v>115</v>
      </c>
      <c r="D42" s="10"/>
      <c r="E42" s="11">
        <v>1000000</v>
      </c>
      <c r="F42" s="11">
        <v>1000</v>
      </c>
      <c r="G42" s="18">
        <v>2.8500000000000001E-2</v>
      </c>
      <c r="I42" s="17"/>
    </row>
    <row r="43" spans="2:9" ht="16.5" x14ac:dyDescent="0.35">
      <c r="B43" s="9"/>
      <c r="C43" s="9" t="s">
        <v>115</v>
      </c>
      <c r="D43" s="10"/>
      <c r="E43" s="11">
        <v>1000000</v>
      </c>
      <c r="F43" s="11">
        <v>1000</v>
      </c>
      <c r="G43" s="18">
        <v>2.8500000000000001E-2</v>
      </c>
      <c r="I43" s="17"/>
    </row>
    <row r="44" spans="2:9" ht="16.5" x14ac:dyDescent="0.35">
      <c r="B44" s="9"/>
      <c r="C44" s="9" t="s">
        <v>113</v>
      </c>
      <c r="D44" s="10"/>
      <c r="E44" s="11">
        <v>1000000</v>
      </c>
      <c r="F44" s="11">
        <v>1000</v>
      </c>
      <c r="G44" s="18">
        <v>2.8500000000000001E-2</v>
      </c>
      <c r="I44" s="17"/>
    </row>
    <row r="45" spans="2:9" ht="16.5" x14ac:dyDescent="0.35">
      <c r="B45" s="9"/>
      <c r="C45" s="9" t="s">
        <v>113</v>
      </c>
      <c r="D45" s="10"/>
      <c r="E45" s="11">
        <v>750000</v>
      </c>
      <c r="F45" s="11">
        <v>750</v>
      </c>
      <c r="G45" s="18">
        <v>2.1400000000000002E-2</v>
      </c>
      <c r="I45" s="17"/>
    </row>
    <row r="46" spans="2:9" ht="16.5" x14ac:dyDescent="0.35">
      <c r="B46" s="9"/>
      <c r="C46" s="9" t="s">
        <v>113</v>
      </c>
      <c r="D46" s="10"/>
      <c r="E46" s="11">
        <v>50000001</v>
      </c>
      <c r="F46" s="11">
        <v>500</v>
      </c>
      <c r="G46" s="18">
        <v>1.43E-2</v>
      </c>
      <c r="I46" s="17"/>
    </row>
    <row r="47" spans="2:9" ht="16.5" x14ac:dyDescent="0.35">
      <c r="B47" s="9" t="s">
        <v>0</v>
      </c>
      <c r="C47" s="9" t="s">
        <v>90</v>
      </c>
      <c r="D47" s="9" t="s">
        <v>0</v>
      </c>
      <c r="E47" s="10"/>
      <c r="F47" s="11">
        <v>4250</v>
      </c>
      <c r="G47" s="18">
        <v>0.12119999999999999</v>
      </c>
      <c r="I47" s="17"/>
    </row>
    <row r="48" spans="2:9" ht="16.5" x14ac:dyDescent="0.35">
      <c r="B48" s="9" t="s">
        <v>0</v>
      </c>
      <c r="C48" s="9" t="s">
        <v>12</v>
      </c>
      <c r="D48" s="9" t="s">
        <v>0</v>
      </c>
      <c r="E48" s="10"/>
      <c r="F48" s="10"/>
      <c r="G48" s="18"/>
      <c r="I48" s="17"/>
    </row>
    <row r="49" spans="2:9" ht="16.5" x14ac:dyDescent="0.35">
      <c r="B49" s="9" t="s">
        <v>41</v>
      </c>
      <c r="C49" s="9" t="s">
        <v>25</v>
      </c>
      <c r="D49" s="10" t="s">
        <v>59</v>
      </c>
      <c r="E49" s="11">
        <v>1500000</v>
      </c>
      <c r="F49" s="11">
        <v>1486.54</v>
      </c>
      <c r="G49" s="18">
        <v>4.24E-2</v>
      </c>
      <c r="I49" s="17"/>
    </row>
    <row r="50" spans="2:9" ht="16.5" x14ac:dyDescent="0.35">
      <c r="B50" s="9" t="s">
        <v>160</v>
      </c>
      <c r="C50" s="9" t="s">
        <v>61</v>
      </c>
      <c r="D50" s="10" t="s">
        <v>59</v>
      </c>
      <c r="E50" s="11">
        <v>1500000</v>
      </c>
      <c r="F50" s="11">
        <v>1473.4</v>
      </c>
      <c r="G50" s="18">
        <v>4.2000000000000003E-2</v>
      </c>
      <c r="I50" s="17"/>
    </row>
    <row r="51" spans="2:9" ht="16.5" x14ac:dyDescent="0.35">
      <c r="B51" s="9" t="s">
        <v>24</v>
      </c>
      <c r="C51" s="9" t="s">
        <v>25</v>
      </c>
      <c r="D51" s="10" t="s">
        <v>59</v>
      </c>
      <c r="E51" s="11">
        <v>500000</v>
      </c>
      <c r="F51" s="11">
        <v>498.19</v>
      </c>
      <c r="G51" s="18">
        <v>1.4199999999999999E-2</v>
      </c>
      <c r="I51" s="17"/>
    </row>
    <row r="52" spans="2:9" ht="16.5" x14ac:dyDescent="0.35">
      <c r="B52" s="9" t="s">
        <v>161</v>
      </c>
      <c r="C52" s="9" t="s">
        <v>31</v>
      </c>
      <c r="D52" s="10" t="s">
        <v>51</v>
      </c>
      <c r="E52" s="11">
        <v>500000</v>
      </c>
      <c r="F52" s="11">
        <v>496.03</v>
      </c>
      <c r="G52" s="18">
        <v>1.41E-2</v>
      </c>
      <c r="I52" s="17"/>
    </row>
    <row r="53" spans="2:9" ht="16.5" x14ac:dyDescent="0.35">
      <c r="B53" s="9" t="s">
        <v>0</v>
      </c>
      <c r="C53" s="9" t="s">
        <v>90</v>
      </c>
      <c r="D53" s="9" t="s">
        <v>0</v>
      </c>
      <c r="E53" s="10"/>
      <c r="F53" s="11">
        <v>3954.16</v>
      </c>
      <c r="G53" s="18">
        <v>0.11269999999999999</v>
      </c>
      <c r="I53" s="17"/>
    </row>
    <row r="54" spans="2:9" ht="16.5" x14ac:dyDescent="0.35">
      <c r="B54" s="9" t="s">
        <v>0</v>
      </c>
      <c r="C54" s="9" t="s">
        <v>183</v>
      </c>
      <c r="D54" s="9" t="s">
        <v>0</v>
      </c>
      <c r="E54" s="10"/>
      <c r="F54" s="10"/>
      <c r="G54" s="18"/>
      <c r="I54" s="17"/>
    </row>
    <row r="55" spans="2:9" ht="16.5" x14ac:dyDescent="0.35">
      <c r="B55" s="9" t="s">
        <v>324</v>
      </c>
      <c r="C55" s="9" t="s">
        <v>325</v>
      </c>
      <c r="D55" s="9" t="s">
        <v>146</v>
      </c>
      <c r="E55" s="11">
        <v>300000</v>
      </c>
      <c r="F55" s="11">
        <v>301.8</v>
      </c>
      <c r="G55" s="18">
        <v>8.6E-3</v>
      </c>
      <c r="I55" s="17"/>
    </row>
    <row r="56" spans="2:9" ht="16.5" x14ac:dyDescent="0.35">
      <c r="B56" s="9" t="s">
        <v>0</v>
      </c>
      <c r="C56" s="9" t="s">
        <v>90</v>
      </c>
      <c r="D56" s="9" t="s">
        <v>0</v>
      </c>
      <c r="E56" s="10"/>
      <c r="F56" s="11">
        <v>301.8</v>
      </c>
      <c r="G56" s="18">
        <v>8.6E-3</v>
      </c>
      <c r="I56" s="17"/>
    </row>
    <row r="57" spans="2:9" ht="16.5" x14ac:dyDescent="0.35">
      <c r="B57" s="9" t="s">
        <v>0</v>
      </c>
      <c r="C57" s="9" t="s">
        <v>254</v>
      </c>
      <c r="D57" s="9" t="s">
        <v>0</v>
      </c>
      <c r="E57" s="10"/>
      <c r="F57" s="10"/>
      <c r="G57" s="18"/>
      <c r="I57" s="17"/>
    </row>
    <row r="58" spans="2:9" ht="16.5" x14ac:dyDescent="0.35">
      <c r="B58" s="9" t="s">
        <v>5</v>
      </c>
      <c r="C58" s="9" t="s">
        <v>326</v>
      </c>
      <c r="D58" s="9" t="s">
        <v>256</v>
      </c>
      <c r="E58" s="11">
        <v>-9100</v>
      </c>
      <c r="F58" s="11">
        <v>-53.79</v>
      </c>
      <c r="G58" s="18">
        <v>-1.5E-3</v>
      </c>
      <c r="I58" s="17"/>
    </row>
    <row r="59" spans="2:9" ht="16.5" x14ac:dyDescent="0.35">
      <c r="B59" s="9" t="s">
        <v>5</v>
      </c>
      <c r="C59" s="9" t="s">
        <v>327</v>
      </c>
      <c r="D59" s="9" t="s">
        <v>256</v>
      </c>
      <c r="E59" s="11">
        <v>-62500</v>
      </c>
      <c r="F59" s="11">
        <v>-120.09</v>
      </c>
      <c r="G59" s="18">
        <v>-3.4000000000000002E-3</v>
      </c>
      <c r="I59" s="17"/>
    </row>
    <row r="60" spans="2:9" ht="16.5" x14ac:dyDescent="0.35">
      <c r="B60" s="9" t="s">
        <v>5</v>
      </c>
      <c r="C60" s="9" t="s">
        <v>328</v>
      </c>
      <c r="D60" s="9" t="s">
        <v>256</v>
      </c>
      <c r="E60" s="11">
        <v>-40005</v>
      </c>
      <c r="F60" s="11">
        <v>-131.04</v>
      </c>
      <c r="G60" s="18">
        <v>-3.7000000000000002E-3</v>
      </c>
      <c r="I60" s="17"/>
    </row>
    <row r="61" spans="2:9" ht="16.5" x14ac:dyDescent="0.35">
      <c r="B61" s="9" t="s">
        <v>5</v>
      </c>
      <c r="C61" s="9" t="s">
        <v>329</v>
      </c>
      <c r="D61" s="9" t="s">
        <v>256</v>
      </c>
      <c r="E61" s="11">
        <v>-21600</v>
      </c>
      <c r="F61" s="11">
        <v>-176.56</v>
      </c>
      <c r="G61" s="18">
        <v>-5.0000000000000001E-3</v>
      </c>
      <c r="I61" s="17"/>
    </row>
    <row r="62" spans="2:9" ht="16.5" x14ac:dyDescent="0.35">
      <c r="B62" s="9" t="s">
        <v>5</v>
      </c>
      <c r="C62" s="9" t="s">
        <v>330</v>
      </c>
      <c r="D62" s="9" t="s">
        <v>256</v>
      </c>
      <c r="E62" s="11">
        <v>-32000</v>
      </c>
      <c r="F62" s="11">
        <v>-206.42</v>
      </c>
      <c r="G62" s="18">
        <v>-5.8999999999999999E-3</v>
      </c>
      <c r="I62" s="17"/>
    </row>
    <row r="63" spans="2:9" ht="16.5" x14ac:dyDescent="0.35">
      <c r="B63" s="9" t="s">
        <v>5</v>
      </c>
      <c r="C63" s="9" t="s">
        <v>331</v>
      </c>
      <c r="D63" s="9" t="s">
        <v>256</v>
      </c>
      <c r="E63" s="11">
        <v>-1144000</v>
      </c>
      <c r="F63" s="11">
        <v>-229.37</v>
      </c>
      <c r="G63" s="18">
        <v>-6.5000000000000006E-3</v>
      </c>
      <c r="I63" s="17"/>
    </row>
    <row r="64" spans="2:9" ht="16.5" x14ac:dyDescent="0.35">
      <c r="B64" s="9" t="s">
        <v>5</v>
      </c>
      <c r="C64" s="9" t="s">
        <v>332</v>
      </c>
      <c r="D64" s="9" t="s">
        <v>256</v>
      </c>
      <c r="E64" s="11">
        <v>-374000</v>
      </c>
      <c r="F64" s="11">
        <v>-240.67</v>
      </c>
      <c r="G64" s="18">
        <v>-6.8999999999999999E-3</v>
      </c>
      <c r="I64" s="17"/>
    </row>
    <row r="65" spans="2:9" ht="16.5" x14ac:dyDescent="0.35">
      <c r="B65" s="9" t="s">
        <v>5</v>
      </c>
      <c r="C65" s="9" t="s">
        <v>333</v>
      </c>
      <c r="D65" s="9" t="s">
        <v>256</v>
      </c>
      <c r="E65" s="11">
        <v>-102500</v>
      </c>
      <c r="F65" s="11">
        <v>-257.99</v>
      </c>
      <c r="G65" s="18">
        <v>-7.4000000000000003E-3</v>
      </c>
      <c r="I65" s="17"/>
    </row>
    <row r="66" spans="2:9" ht="16.5" x14ac:dyDescent="0.35">
      <c r="B66" s="9" t="s">
        <v>5</v>
      </c>
      <c r="C66" s="9" t="s">
        <v>334</v>
      </c>
      <c r="D66" s="9" t="s">
        <v>256</v>
      </c>
      <c r="E66" s="11">
        <v>-57200</v>
      </c>
      <c r="F66" s="11">
        <v>-259.75</v>
      </c>
      <c r="G66" s="18">
        <v>-7.4000000000000003E-3</v>
      </c>
      <c r="I66" s="17"/>
    </row>
    <row r="67" spans="2:9" ht="16.5" x14ac:dyDescent="0.35">
      <c r="B67" s="9" t="s">
        <v>5</v>
      </c>
      <c r="C67" s="9" t="s">
        <v>335</v>
      </c>
      <c r="D67" s="9" t="s">
        <v>256</v>
      </c>
      <c r="E67" s="11">
        <v>-39000</v>
      </c>
      <c r="F67" s="11">
        <v>-299.42</v>
      </c>
      <c r="G67" s="18">
        <v>-8.5000000000000006E-3</v>
      </c>
      <c r="I67" s="17"/>
    </row>
    <row r="68" spans="2:9" ht="16.5" x14ac:dyDescent="0.35">
      <c r="B68" s="9" t="s">
        <v>5</v>
      </c>
      <c r="C68" s="9" t="s">
        <v>336</v>
      </c>
      <c r="D68" s="9" t="s">
        <v>256</v>
      </c>
      <c r="E68" s="11">
        <v>-182000</v>
      </c>
      <c r="F68" s="11">
        <v>-300.85000000000002</v>
      </c>
      <c r="G68" s="18">
        <v>-8.6E-3</v>
      </c>
      <c r="I68" s="17"/>
    </row>
    <row r="69" spans="2:9" ht="16.5" x14ac:dyDescent="0.35">
      <c r="B69" s="9" t="s">
        <v>5</v>
      </c>
      <c r="C69" s="9" t="s">
        <v>337</v>
      </c>
      <c r="D69" s="9" t="s">
        <v>256</v>
      </c>
      <c r="E69" s="11">
        <v>-117250</v>
      </c>
      <c r="F69" s="11">
        <v>-352.16</v>
      </c>
      <c r="G69" s="18">
        <v>-0.01</v>
      </c>
      <c r="I69" s="17"/>
    </row>
    <row r="70" spans="2:9" ht="16.5" x14ac:dyDescent="0.35">
      <c r="B70" s="9" t="s">
        <v>5</v>
      </c>
      <c r="C70" s="9" t="s">
        <v>338</v>
      </c>
      <c r="D70" s="9" t="s">
        <v>256</v>
      </c>
      <c r="E70" s="11">
        <v>-225000</v>
      </c>
      <c r="F70" s="11">
        <v>-367.43</v>
      </c>
      <c r="G70" s="18">
        <v>-1.0500000000000001E-2</v>
      </c>
      <c r="I70" s="17"/>
    </row>
    <row r="71" spans="2:9" ht="16.5" x14ac:dyDescent="0.35">
      <c r="B71" s="9" t="s">
        <v>5</v>
      </c>
      <c r="C71" s="9" t="s">
        <v>339</v>
      </c>
      <c r="D71" s="9" t="s">
        <v>256</v>
      </c>
      <c r="E71" s="11">
        <v>-404000</v>
      </c>
      <c r="F71" s="11">
        <v>-388.45</v>
      </c>
      <c r="G71" s="18">
        <v>-1.11E-2</v>
      </c>
      <c r="I71" s="17"/>
    </row>
    <row r="72" spans="2:9" ht="16.5" x14ac:dyDescent="0.35">
      <c r="B72" s="9" t="s">
        <v>5</v>
      </c>
      <c r="C72" s="9" t="s">
        <v>340</v>
      </c>
      <c r="D72" s="9" t="s">
        <v>256</v>
      </c>
      <c r="E72" s="11">
        <v>-47000</v>
      </c>
      <c r="F72" s="11">
        <v>-416.58</v>
      </c>
      <c r="G72" s="18">
        <v>-1.1899999999999999E-2</v>
      </c>
      <c r="I72" s="17"/>
    </row>
    <row r="73" spans="2:9" ht="16.5" x14ac:dyDescent="0.35">
      <c r="B73" s="9" t="s">
        <v>5</v>
      </c>
      <c r="C73" s="9" t="s">
        <v>341</v>
      </c>
      <c r="D73" s="9" t="s">
        <v>256</v>
      </c>
      <c r="E73" s="11">
        <v>-124000</v>
      </c>
      <c r="F73" s="11">
        <v>-528.66999999999996</v>
      </c>
      <c r="G73" s="18">
        <v>-1.5100000000000001E-2</v>
      </c>
      <c r="I73" s="17"/>
    </row>
    <row r="74" spans="2:9" ht="16.5" x14ac:dyDescent="0.35">
      <c r="B74" s="9" t="s">
        <v>5</v>
      </c>
      <c r="C74" s="9" t="s">
        <v>342</v>
      </c>
      <c r="D74" s="9" t="s">
        <v>256</v>
      </c>
      <c r="E74" s="11">
        <v>-171000</v>
      </c>
      <c r="F74" s="11">
        <v>-559.85</v>
      </c>
      <c r="G74" s="18">
        <v>-1.6E-2</v>
      </c>
      <c r="I74" s="17"/>
    </row>
    <row r="75" spans="2:9" ht="16.5" x14ac:dyDescent="0.35">
      <c r="B75" s="9" t="s">
        <v>5</v>
      </c>
      <c r="C75" s="9" t="s">
        <v>343</v>
      </c>
      <c r="D75" s="9" t="s">
        <v>256</v>
      </c>
      <c r="E75" s="11">
        <v>-255000</v>
      </c>
      <c r="F75" s="11">
        <v>-571.58000000000004</v>
      </c>
      <c r="G75" s="18">
        <v>-1.6299999999999999E-2</v>
      </c>
      <c r="I75" s="17"/>
    </row>
    <row r="76" spans="2:9" ht="16.5" x14ac:dyDescent="0.35">
      <c r="B76" s="9" t="s">
        <v>5</v>
      </c>
      <c r="C76" s="9" t="s">
        <v>344</v>
      </c>
      <c r="D76" s="9" t="s">
        <v>256</v>
      </c>
      <c r="E76" s="11">
        <v>-720000</v>
      </c>
      <c r="F76" s="11">
        <v>-583.20000000000005</v>
      </c>
      <c r="G76" s="18">
        <v>-1.66E-2</v>
      </c>
      <c r="I76" s="17"/>
    </row>
    <row r="77" spans="2:9" ht="16.5" x14ac:dyDescent="0.35">
      <c r="B77" s="9" t="s">
        <v>5</v>
      </c>
      <c r="C77" s="9" t="s">
        <v>345</v>
      </c>
      <c r="D77" s="9" t="s">
        <v>256</v>
      </c>
      <c r="E77" s="11">
        <v>-136500</v>
      </c>
      <c r="F77" s="11">
        <v>-598.07000000000005</v>
      </c>
      <c r="G77" s="18">
        <v>-1.7100000000000001E-2</v>
      </c>
      <c r="I77" s="17"/>
    </row>
    <row r="78" spans="2:9" ht="16.5" x14ac:dyDescent="0.35">
      <c r="B78" s="9" t="s">
        <v>5</v>
      </c>
      <c r="C78" s="9" t="s">
        <v>346</v>
      </c>
      <c r="D78" s="9" t="s">
        <v>256</v>
      </c>
      <c r="E78" s="11">
        <v>-1056000</v>
      </c>
      <c r="F78" s="11">
        <v>-623.04</v>
      </c>
      <c r="G78" s="18">
        <v>-1.78E-2</v>
      </c>
      <c r="I78" s="17"/>
    </row>
    <row r="79" spans="2:9" ht="16.5" x14ac:dyDescent="0.35">
      <c r="B79" s="9" t="s">
        <v>5</v>
      </c>
      <c r="C79" s="9" t="s">
        <v>347</v>
      </c>
      <c r="D79" s="9" t="s">
        <v>256</v>
      </c>
      <c r="E79" s="11">
        <v>-71000</v>
      </c>
      <c r="F79" s="11">
        <v>-689.66</v>
      </c>
      <c r="G79" s="18">
        <v>-1.9699999999999999E-2</v>
      </c>
      <c r="I79" s="17"/>
    </row>
    <row r="80" spans="2:9" ht="16.5" x14ac:dyDescent="0.35">
      <c r="B80" s="9" t="s">
        <v>5</v>
      </c>
      <c r="C80" s="9" t="s">
        <v>348</v>
      </c>
      <c r="D80" s="9" t="s">
        <v>256</v>
      </c>
      <c r="E80" s="11">
        <v>-67200</v>
      </c>
      <c r="F80" s="11">
        <v>-752.47</v>
      </c>
      <c r="G80" s="18">
        <v>-2.1499999999999998E-2</v>
      </c>
      <c r="I80" s="17"/>
    </row>
    <row r="81" spans="2:9" ht="16.5" x14ac:dyDescent="0.35">
      <c r="B81" s="9" t="s">
        <v>5</v>
      </c>
      <c r="C81" s="9" t="s">
        <v>349</v>
      </c>
      <c r="D81" s="9" t="s">
        <v>256</v>
      </c>
      <c r="E81" s="11">
        <v>-500000</v>
      </c>
      <c r="F81" s="11">
        <v>-842</v>
      </c>
      <c r="G81" s="18">
        <v>-2.4E-2</v>
      </c>
      <c r="I81" s="17"/>
    </row>
    <row r="82" spans="2:9" ht="16.5" x14ac:dyDescent="0.35">
      <c r="B82" s="9" t="s">
        <v>5</v>
      </c>
      <c r="C82" s="9" t="s">
        <v>350</v>
      </c>
      <c r="D82" s="9" t="s">
        <v>256</v>
      </c>
      <c r="E82" s="11">
        <v>-884000</v>
      </c>
      <c r="F82" s="11">
        <v>-847.76</v>
      </c>
      <c r="G82" s="18">
        <v>-2.4199999999999999E-2</v>
      </c>
      <c r="I82" s="17"/>
    </row>
    <row r="83" spans="2:9" ht="16.5" x14ac:dyDescent="0.35">
      <c r="B83" s="9" t="s">
        <v>5</v>
      </c>
      <c r="C83" s="9" t="s">
        <v>351</v>
      </c>
      <c r="D83" s="9" t="s">
        <v>256</v>
      </c>
      <c r="E83" s="11">
        <v>-138000</v>
      </c>
      <c r="F83" s="11">
        <v>-891.14</v>
      </c>
      <c r="G83" s="18">
        <v>-2.5399999999999999E-2</v>
      </c>
      <c r="I83" s="17"/>
    </row>
    <row r="84" spans="2:9" ht="16.5" x14ac:dyDescent="0.35">
      <c r="B84" s="9" t="s">
        <v>5</v>
      </c>
      <c r="C84" s="9" t="s">
        <v>352</v>
      </c>
      <c r="D84" s="9" t="s">
        <v>256</v>
      </c>
      <c r="E84" s="11">
        <v>-83600</v>
      </c>
      <c r="F84" s="11">
        <v>-1060.8</v>
      </c>
      <c r="G84" s="18">
        <v>-3.0299999999999997E-2</v>
      </c>
      <c r="I84" s="17"/>
    </row>
    <row r="85" spans="2:9" ht="16.5" x14ac:dyDescent="0.35">
      <c r="B85" s="9" t="s">
        <v>5</v>
      </c>
      <c r="C85" s="9" t="s">
        <v>353</v>
      </c>
      <c r="D85" s="9" t="s">
        <v>256</v>
      </c>
      <c r="E85" s="11">
        <v>-630000</v>
      </c>
      <c r="F85" s="11">
        <v>-1096.52</v>
      </c>
      <c r="G85" s="18">
        <v>-3.1300000000000001E-2</v>
      </c>
      <c r="I85" s="17"/>
    </row>
    <row r="86" spans="2:9" ht="16.5" x14ac:dyDescent="0.35">
      <c r="B86" s="9" t="s">
        <v>5</v>
      </c>
      <c r="C86" s="9" t="s">
        <v>354</v>
      </c>
      <c r="D86" s="9" t="s">
        <v>256</v>
      </c>
      <c r="E86" s="11">
        <v>-31750</v>
      </c>
      <c r="F86" s="11">
        <v>-1154.67</v>
      </c>
      <c r="G86" s="18">
        <v>-3.2899999999999999E-2</v>
      </c>
      <c r="I86" s="17"/>
    </row>
    <row r="87" spans="2:9" ht="16.5" x14ac:dyDescent="0.35">
      <c r="B87" s="9" t="s">
        <v>5</v>
      </c>
      <c r="C87" s="9" t="s">
        <v>355</v>
      </c>
      <c r="D87" s="9" t="s">
        <v>256</v>
      </c>
      <c r="E87" s="11">
        <v>-336600</v>
      </c>
      <c r="F87" s="11">
        <v>-1384.6</v>
      </c>
      <c r="G87" s="18">
        <v>-3.95E-2</v>
      </c>
      <c r="I87" s="17"/>
    </row>
    <row r="88" spans="2:9" ht="16.5" x14ac:dyDescent="0.35">
      <c r="B88" s="9" t="s">
        <v>5</v>
      </c>
      <c r="C88" s="14" t="s">
        <v>356</v>
      </c>
      <c r="D88" s="9" t="s">
        <v>256</v>
      </c>
      <c r="E88" s="11">
        <v>-591000</v>
      </c>
      <c r="F88" s="11">
        <v>-1463.91</v>
      </c>
      <c r="G88" s="18">
        <v>-4.1799999999999997E-2</v>
      </c>
      <c r="I88" s="17"/>
    </row>
    <row r="89" spans="2:9" ht="16.5" x14ac:dyDescent="0.35">
      <c r="B89" s="9" t="s">
        <v>5</v>
      </c>
      <c r="C89" s="9" t="s">
        <v>357</v>
      </c>
      <c r="D89" s="9" t="s">
        <v>256</v>
      </c>
      <c r="E89" s="11">
        <v>-91500</v>
      </c>
      <c r="F89" s="11">
        <v>-1735.94</v>
      </c>
      <c r="G89" s="18">
        <v>-4.9500000000000002E-2</v>
      </c>
      <c r="I89" s="17"/>
    </row>
    <row r="90" spans="2:9" ht="16.5" x14ac:dyDescent="0.35">
      <c r="B90" s="9" t="s">
        <v>5</v>
      </c>
      <c r="C90" s="9" t="s">
        <v>358</v>
      </c>
      <c r="D90" s="9" t="s">
        <v>256</v>
      </c>
      <c r="E90" s="11">
        <v>-297000</v>
      </c>
      <c r="F90" s="11">
        <v>-1915.65</v>
      </c>
      <c r="G90" s="18">
        <v>-5.4600000000000003E-2</v>
      </c>
      <c r="I90" s="17"/>
    </row>
    <row r="91" spans="2:9" ht="16.5" x14ac:dyDescent="0.35">
      <c r="B91" s="9" t="s">
        <v>5</v>
      </c>
      <c r="C91" s="9" t="s">
        <v>359</v>
      </c>
      <c r="D91" s="9" t="s">
        <v>256</v>
      </c>
      <c r="E91" s="11">
        <v>-400400</v>
      </c>
      <c r="F91" s="11">
        <v>-2128.9299999999998</v>
      </c>
      <c r="G91" s="18">
        <v>-6.0700000000000004E-2</v>
      </c>
      <c r="I91" s="17"/>
    </row>
    <row r="92" spans="2:9" ht="16.5" x14ac:dyDescent="0.35">
      <c r="B92" s="9" t="s">
        <v>0</v>
      </c>
      <c r="C92" s="9" t="s">
        <v>90</v>
      </c>
      <c r="D92" s="9" t="s">
        <v>0</v>
      </c>
      <c r="E92" s="10"/>
      <c r="F92" s="11">
        <v>-23229.03</v>
      </c>
      <c r="G92" s="18">
        <f>SUM(G58:G91)</f>
        <v>-0.66259999999999997</v>
      </c>
      <c r="I92" s="17"/>
    </row>
    <row r="93" spans="2:9" ht="16.5" x14ac:dyDescent="0.35">
      <c r="B93" s="9" t="s">
        <v>0</v>
      </c>
      <c r="C93" s="9" t="s">
        <v>185</v>
      </c>
      <c r="D93" s="9" t="s">
        <v>0</v>
      </c>
      <c r="E93" s="10"/>
      <c r="F93" s="10"/>
      <c r="G93" s="18"/>
      <c r="I93" s="17"/>
    </row>
    <row r="94" spans="2:9" ht="16.5" x14ac:dyDescent="0.35">
      <c r="B94" s="9" t="s">
        <v>154</v>
      </c>
      <c r="C94" s="9" t="s">
        <v>186</v>
      </c>
      <c r="D94" s="10"/>
      <c r="E94" s="9" t="s">
        <v>154</v>
      </c>
      <c r="F94" s="11">
        <v>24.5</v>
      </c>
      <c r="G94" s="18">
        <v>7.000000000000001E-4</v>
      </c>
      <c r="I94" s="17"/>
    </row>
    <row r="95" spans="2:9" ht="16.5" x14ac:dyDescent="0.35">
      <c r="B95" s="9" t="s">
        <v>0</v>
      </c>
      <c r="C95" s="9" t="s">
        <v>90</v>
      </c>
      <c r="D95" s="9" t="s">
        <v>0</v>
      </c>
      <c r="E95" s="9" t="s">
        <v>154</v>
      </c>
      <c r="F95" s="11">
        <v>24.5</v>
      </c>
      <c r="G95" s="18">
        <v>7.000000000000001E-4</v>
      </c>
      <c r="I95" s="17"/>
    </row>
    <row r="96" spans="2:9" ht="16.5" x14ac:dyDescent="0.35">
      <c r="B96" s="10"/>
      <c r="C96" s="9" t="s">
        <v>155</v>
      </c>
      <c r="D96" s="10"/>
      <c r="E96" s="10"/>
      <c r="F96" s="9" t="s">
        <v>0</v>
      </c>
      <c r="G96" s="18"/>
      <c r="I96" s="17"/>
    </row>
    <row r="97" spans="2:9" ht="16.5" x14ac:dyDescent="0.35">
      <c r="B97" s="10"/>
      <c r="C97" s="9" t="s">
        <v>156</v>
      </c>
      <c r="D97" s="10"/>
      <c r="E97" s="10"/>
      <c r="F97" s="11">
        <v>26659.71</v>
      </c>
      <c r="G97" s="18">
        <v>0.76060000000000005</v>
      </c>
      <c r="I97" s="17"/>
    </row>
    <row r="98" spans="2:9" ht="16.5" x14ac:dyDescent="0.35">
      <c r="B98" s="10"/>
      <c r="C98" s="9" t="s">
        <v>90</v>
      </c>
      <c r="D98" s="10"/>
      <c r="E98" s="10"/>
      <c r="F98" s="11">
        <v>26659.71</v>
      </c>
      <c r="G98" s="18">
        <v>0.76060000000000005</v>
      </c>
      <c r="I98" s="17"/>
    </row>
    <row r="99" spans="2:9" ht="16.5" x14ac:dyDescent="0.35">
      <c r="B99" s="10"/>
      <c r="C99" s="9" t="s">
        <v>157</v>
      </c>
      <c r="D99" s="10"/>
      <c r="E99" s="10"/>
      <c r="F99" s="11">
        <v>35055.129999999997</v>
      </c>
      <c r="G99" s="18">
        <v>1</v>
      </c>
      <c r="I99" s="17"/>
    </row>
    <row r="101" spans="2:9" x14ac:dyDescent="0.25">
      <c r="C101" s="33" t="s">
        <v>522</v>
      </c>
      <c r="F101" s="15"/>
      <c r="G101" s="16"/>
    </row>
    <row r="102" spans="2:9" x14ac:dyDescent="0.25">
      <c r="C102" s="33" t="s">
        <v>523</v>
      </c>
    </row>
    <row r="103" spans="2:9" x14ac:dyDescent="0.25">
      <c r="C103" s="33" t="s">
        <v>524</v>
      </c>
    </row>
    <row r="104" spans="2:9" x14ac:dyDescent="0.25">
      <c r="C104" s="32"/>
    </row>
    <row r="105" spans="2:9" x14ac:dyDescent="0.25">
      <c r="C105" s="33" t="s">
        <v>525</v>
      </c>
    </row>
  </sheetData>
  <mergeCells count="1">
    <mergeCell ref="E2:G2"/>
  </mergeCells>
  <pageMargins left="0.78749999999999998" right="0.78749999999999998" top="1.052778" bottom="1.052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7"/>
  <sheetViews>
    <sheetView workbookViewId="0">
      <selection activeCell="L11" sqref="L11"/>
    </sheetView>
  </sheetViews>
  <sheetFormatPr defaultRowHeight="15" x14ac:dyDescent="0.25"/>
  <cols>
    <col min="1" max="1" width="1" customWidth="1"/>
    <col min="2" max="2" width="11.42578125" bestFit="1" customWidth="1"/>
    <col min="3" max="3" width="43.5703125" bestFit="1" customWidth="1"/>
    <col min="4" max="4" width="32.7109375" bestFit="1" customWidth="1"/>
    <col min="5" max="5" width="9.5703125" bestFit="1" customWidth="1"/>
    <col min="6" max="6" width="11.5703125" bestFit="1" customWidth="1"/>
    <col min="7" max="7" width="8.85546875" bestFit="1" customWidth="1"/>
    <col min="8" max="8" width="10.28515625" bestFit="1" customWidth="1"/>
    <col min="9" max="9" width="12.42578125" bestFit="1" customWidth="1"/>
    <col min="10" max="10" width="10.28515625" bestFit="1" customWidth="1"/>
    <col min="11" max="11" width="12.42578125" bestFit="1" customWidth="1"/>
    <col min="12" max="12" width="10.28515625" bestFit="1" customWidth="1"/>
    <col min="13" max="13" width="12.42578125" bestFit="1" customWidth="1"/>
    <col min="14" max="14" width="10.28515625" bestFit="1" customWidth="1"/>
    <col min="15" max="15" width="12.42578125" bestFit="1" customWidth="1"/>
  </cols>
  <sheetData>
    <row r="1" spans="2:9" ht="16.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9" ht="15.75" x14ac:dyDescent="0.25">
      <c r="B2" s="3"/>
      <c r="C2" s="22" t="s">
        <v>415</v>
      </c>
      <c r="D2" s="3"/>
      <c r="E2" s="37"/>
      <c r="F2" s="37"/>
      <c r="G2" s="37"/>
    </row>
    <row r="3" spans="2:9" ht="16.5" x14ac:dyDescent="0.35">
      <c r="C3" s="2" t="s">
        <v>6</v>
      </c>
    </row>
    <row r="4" spans="2:9" ht="39" x14ac:dyDescent="0.25">
      <c r="B4" s="5" t="s">
        <v>7</v>
      </c>
      <c r="C4" s="6" t="s">
        <v>8</v>
      </c>
      <c r="D4" s="6" t="s">
        <v>9</v>
      </c>
      <c r="E4" s="5" t="s">
        <v>10</v>
      </c>
      <c r="F4" s="7" t="s">
        <v>510</v>
      </c>
      <c r="G4" s="8" t="s">
        <v>11</v>
      </c>
    </row>
    <row r="5" spans="2:9" ht="16.5" x14ac:dyDescent="0.35">
      <c r="B5" s="9" t="s">
        <v>0</v>
      </c>
      <c r="C5" s="9" t="s">
        <v>188</v>
      </c>
      <c r="D5" s="9" t="s">
        <v>0</v>
      </c>
      <c r="E5" s="10"/>
      <c r="F5" s="10"/>
      <c r="G5" s="10"/>
    </row>
    <row r="6" spans="2:9" ht="16.5" x14ac:dyDescent="0.35">
      <c r="B6" s="9" t="s">
        <v>416</v>
      </c>
      <c r="C6" s="9" t="s">
        <v>417</v>
      </c>
      <c r="D6" s="9" t="s">
        <v>196</v>
      </c>
      <c r="E6" s="11">
        <v>54040</v>
      </c>
      <c r="F6" s="11">
        <v>242.59</v>
      </c>
      <c r="G6" s="18">
        <v>4.4299999999999999E-2</v>
      </c>
      <c r="I6" s="20"/>
    </row>
    <row r="7" spans="2:9" ht="16.5" x14ac:dyDescent="0.35">
      <c r="B7" s="9" t="s">
        <v>418</v>
      </c>
      <c r="C7" s="9" t="s">
        <v>419</v>
      </c>
      <c r="D7" s="9" t="s">
        <v>420</v>
      </c>
      <c r="E7" s="11">
        <v>63862</v>
      </c>
      <c r="F7" s="11">
        <v>225.05</v>
      </c>
      <c r="G7" s="18">
        <v>4.1100000000000005E-2</v>
      </c>
      <c r="I7" s="20"/>
    </row>
    <row r="8" spans="2:9" ht="16.5" x14ac:dyDescent="0.35">
      <c r="B8" s="9" t="s">
        <v>421</v>
      </c>
      <c r="C8" s="9" t="s">
        <v>506</v>
      </c>
      <c r="D8" s="9" t="s">
        <v>196</v>
      </c>
      <c r="E8" s="11">
        <v>27481</v>
      </c>
      <c r="F8" s="11">
        <v>209.1</v>
      </c>
      <c r="G8" s="18">
        <v>3.8199999999999998E-2</v>
      </c>
      <c r="I8" s="20"/>
    </row>
    <row r="9" spans="2:9" ht="16.5" x14ac:dyDescent="0.35">
      <c r="B9" s="9" t="s">
        <v>392</v>
      </c>
      <c r="C9" s="9" t="s">
        <v>393</v>
      </c>
      <c r="D9" s="9" t="s">
        <v>214</v>
      </c>
      <c r="E9" s="11">
        <v>68860</v>
      </c>
      <c r="F9" s="11">
        <v>204.89</v>
      </c>
      <c r="G9" s="18">
        <v>3.7400000000000003E-2</v>
      </c>
      <c r="I9" s="20"/>
    </row>
    <row r="10" spans="2:9" ht="16.5" x14ac:dyDescent="0.35">
      <c r="B10" s="9" t="s">
        <v>422</v>
      </c>
      <c r="C10" s="9" t="s">
        <v>423</v>
      </c>
      <c r="D10" s="9" t="s">
        <v>307</v>
      </c>
      <c r="E10" s="11">
        <v>78065</v>
      </c>
      <c r="F10" s="11">
        <v>203.59</v>
      </c>
      <c r="G10" s="18">
        <v>3.7200000000000004E-2</v>
      </c>
      <c r="I10" s="20"/>
    </row>
    <row r="11" spans="2:9" ht="16.5" x14ac:dyDescent="0.35">
      <c r="B11" s="9" t="s">
        <v>424</v>
      </c>
      <c r="C11" s="9" t="s">
        <v>425</v>
      </c>
      <c r="D11" s="9" t="s">
        <v>310</v>
      </c>
      <c r="E11" s="11">
        <v>39506</v>
      </c>
      <c r="F11" s="11">
        <v>192.99</v>
      </c>
      <c r="G11" s="18">
        <v>3.5200000000000002E-2</v>
      </c>
      <c r="I11" s="20"/>
    </row>
    <row r="12" spans="2:9" ht="16.5" x14ac:dyDescent="0.35">
      <c r="B12" s="9" t="s">
        <v>426</v>
      </c>
      <c r="C12" s="9" t="s">
        <v>427</v>
      </c>
      <c r="D12" s="9" t="s">
        <v>428</v>
      </c>
      <c r="E12" s="11">
        <v>13246</v>
      </c>
      <c r="F12" s="11">
        <v>183.54</v>
      </c>
      <c r="G12" s="18">
        <v>3.3500000000000002E-2</v>
      </c>
      <c r="I12" s="20"/>
    </row>
    <row r="13" spans="2:9" ht="16.5" x14ac:dyDescent="0.35">
      <c r="B13" s="9" t="s">
        <v>429</v>
      </c>
      <c r="C13" s="9" t="s">
        <v>430</v>
      </c>
      <c r="D13" s="9" t="s">
        <v>307</v>
      </c>
      <c r="E13" s="11">
        <v>66063</v>
      </c>
      <c r="F13" s="11">
        <v>182.6</v>
      </c>
      <c r="G13" s="18">
        <v>3.3300000000000003E-2</v>
      </c>
      <c r="I13" s="20"/>
    </row>
    <row r="14" spans="2:9" ht="16.5" x14ac:dyDescent="0.35">
      <c r="B14" s="9" t="s">
        <v>292</v>
      </c>
      <c r="C14" s="9" t="s">
        <v>293</v>
      </c>
      <c r="D14" s="9" t="s">
        <v>294</v>
      </c>
      <c r="E14" s="11">
        <v>55486</v>
      </c>
      <c r="F14" s="11">
        <v>180.33</v>
      </c>
      <c r="G14" s="18">
        <v>3.2899999999999999E-2</v>
      </c>
      <c r="I14" s="20"/>
    </row>
    <row r="15" spans="2:9" ht="16.5" x14ac:dyDescent="0.35">
      <c r="B15" s="9" t="s">
        <v>431</v>
      </c>
      <c r="C15" s="9" t="s">
        <v>432</v>
      </c>
      <c r="D15" s="9" t="s">
        <v>206</v>
      </c>
      <c r="E15" s="11">
        <v>70566</v>
      </c>
      <c r="F15" s="11">
        <v>175.22</v>
      </c>
      <c r="G15" s="18">
        <v>3.2000000000000001E-2</v>
      </c>
      <c r="I15" s="20"/>
    </row>
    <row r="16" spans="2:9" ht="16.5" x14ac:dyDescent="0.35">
      <c r="B16" s="9" t="s">
        <v>433</v>
      </c>
      <c r="C16" s="9" t="s">
        <v>434</v>
      </c>
      <c r="D16" s="9" t="s">
        <v>435</v>
      </c>
      <c r="E16" s="11">
        <v>121298</v>
      </c>
      <c r="F16" s="11">
        <v>171.76</v>
      </c>
      <c r="G16" s="18">
        <v>3.1400000000000004E-2</v>
      </c>
      <c r="I16" s="20"/>
    </row>
    <row r="17" spans="2:9" ht="16.5" x14ac:dyDescent="0.35">
      <c r="B17" s="9" t="s">
        <v>436</v>
      </c>
      <c r="C17" s="9" t="s">
        <v>437</v>
      </c>
      <c r="D17" s="9" t="s">
        <v>407</v>
      </c>
      <c r="E17" s="11">
        <v>58137</v>
      </c>
      <c r="F17" s="11">
        <v>168.63</v>
      </c>
      <c r="G17" s="18">
        <v>3.0800000000000001E-2</v>
      </c>
      <c r="I17" s="20"/>
    </row>
    <row r="18" spans="2:9" ht="16.5" x14ac:dyDescent="0.35">
      <c r="B18" s="9" t="s">
        <v>438</v>
      </c>
      <c r="C18" s="9" t="s">
        <v>439</v>
      </c>
      <c r="D18" s="9" t="s">
        <v>440</v>
      </c>
      <c r="E18" s="11">
        <v>153298</v>
      </c>
      <c r="F18" s="11">
        <v>158.66</v>
      </c>
      <c r="G18" s="18">
        <v>2.8999999999999998E-2</v>
      </c>
      <c r="I18" s="20"/>
    </row>
    <row r="19" spans="2:9" ht="16.5" x14ac:dyDescent="0.35">
      <c r="B19" s="9" t="s">
        <v>441</v>
      </c>
      <c r="C19" s="9" t="s">
        <v>442</v>
      </c>
      <c r="D19" s="9" t="s">
        <v>276</v>
      </c>
      <c r="E19" s="11">
        <v>36308</v>
      </c>
      <c r="F19" s="11">
        <v>147.88</v>
      </c>
      <c r="G19" s="18">
        <v>2.7000000000000003E-2</v>
      </c>
      <c r="I19" s="20"/>
    </row>
    <row r="20" spans="2:9" ht="16.5" x14ac:dyDescent="0.35">
      <c r="B20" s="9" t="s">
        <v>210</v>
      </c>
      <c r="C20" s="9" t="s">
        <v>175</v>
      </c>
      <c r="D20" s="9" t="s">
        <v>211</v>
      </c>
      <c r="E20" s="11">
        <v>63900</v>
      </c>
      <c r="F20" s="11">
        <v>144.93</v>
      </c>
      <c r="G20" s="18">
        <v>2.6499999999999999E-2</v>
      </c>
      <c r="I20" s="20"/>
    </row>
    <row r="21" spans="2:9" ht="16.5" x14ac:dyDescent="0.35">
      <c r="B21" s="9" t="s">
        <v>399</v>
      </c>
      <c r="C21" s="9" t="s">
        <v>400</v>
      </c>
      <c r="D21" s="9" t="s">
        <v>211</v>
      </c>
      <c r="E21" s="11">
        <v>49541</v>
      </c>
      <c r="F21" s="11">
        <v>142.53</v>
      </c>
      <c r="G21" s="18">
        <v>2.6000000000000002E-2</v>
      </c>
      <c r="I21" s="20"/>
    </row>
    <row r="22" spans="2:9" ht="16.5" x14ac:dyDescent="0.35">
      <c r="B22" s="9" t="s">
        <v>443</v>
      </c>
      <c r="C22" s="9" t="s">
        <v>444</v>
      </c>
      <c r="D22" s="9" t="s">
        <v>249</v>
      </c>
      <c r="E22" s="11">
        <v>78751</v>
      </c>
      <c r="F22" s="11">
        <v>141.47999999999999</v>
      </c>
      <c r="G22" s="18">
        <v>2.58E-2</v>
      </c>
      <c r="I22" s="20"/>
    </row>
    <row r="23" spans="2:9" ht="16.5" x14ac:dyDescent="0.35">
      <c r="B23" s="9" t="s">
        <v>220</v>
      </c>
      <c r="C23" s="9" t="s">
        <v>221</v>
      </c>
      <c r="D23" s="9" t="s">
        <v>211</v>
      </c>
      <c r="E23" s="11">
        <v>42990</v>
      </c>
      <c r="F23" s="11">
        <v>139.76</v>
      </c>
      <c r="G23" s="18">
        <v>2.5499999999999998E-2</v>
      </c>
      <c r="I23" s="20"/>
    </row>
    <row r="24" spans="2:9" ht="16.5" x14ac:dyDescent="0.35">
      <c r="B24" s="9" t="s">
        <v>204</v>
      </c>
      <c r="C24" s="9" t="s">
        <v>205</v>
      </c>
      <c r="D24" s="9" t="s">
        <v>206</v>
      </c>
      <c r="E24" s="11">
        <v>3500</v>
      </c>
      <c r="F24" s="11">
        <v>138.72</v>
      </c>
      <c r="G24" s="18">
        <v>2.53E-2</v>
      </c>
      <c r="I24" s="20"/>
    </row>
    <row r="25" spans="2:9" ht="16.5" x14ac:dyDescent="0.35">
      <c r="B25" s="9" t="s">
        <v>445</v>
      </c>
      <c r="C25" s="9" t="s">
        <v>446</v>
      </c>
      <c r="D25" s="9" t="s">
        <v>440</v>
      </c>
      <c r="E25" s="11">
        <v>62322</v>
      </c>
      <c r="F25" s="11">
        <v>137.38999999999999</v>
      </c>
      <c r="G25" s="18">
        <v>2.5099999999999997E-2</v>
      </c>
      <c r="I25" s="20"/>
    </row>
    <row r="26" spans="2:9" ht="16.5" x14ac:dyDescent="0.35">
      <c r="B26" s="9" t="s">
        <v>447</v>
      </c>
      <c r="C26" s="9" t="s">
        <v>448</v>
      </c>
      <c r="D26" s="9" t="s">
        <v>449</v>
      </c>
      <c r="E26" s="11">
        <v>11077</v>
      </c>
      <c r="F26" s="11">
        <v>135.88</v>
      </c>
      <c r="G26" s="18">
        <v>2.4799999999999999E-2</v>
      </c>
      <c r="I26" s="20"/>
    </row>
    <row r="27" spans="2:9" ht="16.5" x14ac:dyDescent="0.35">
      <c r="B27" s="9" t="s">
        <v>450</v>
      </c>
      <c r="C27" s="9" t="s">
        <v>451</v>
      </c>
      <c r="D27" s="9" t="s">
        <v>214</v>
      </c>
      <c r="E27" s="11">
        <v>91481</v>
      </c>
      <c r="F27" s="11">
        <v>124.28</v>
      </c>
      <c r="G27" s="18">
        <v>2.2700000000000001E-2</v>
      </c>
      <c r="I27" s="20"/>
    </row>
    <row r="28" spans="2:9" ht="16.5" x14ac:dyDescent="0.35">
      <c r="B28" s="9" t="s">
        <v>452</v>
      </c>
      <c r="C28" s="9" t="s">
        <v>453</v>
      </c>
      <c r="D28" s="9" t="s">
        <v>307</v>
      </c>
      <c r="E28" s="11">
        <v>39303</v>
      </c>
      <c r="F28" s="11">
        <v>121.21</v>
      </c>
      <c r="G28" s="18">
        <v>2.2099999999999998E-2</v>
      </c>
      <c r="I28" s="20"/>
    </row>
    <row r="29" spans="2:9" ht="16.5" x14ac:dyDescent="0.35">
      <c r="B29" s="9" t="s">
        <v>454</v>
      </c>
      <c r="C29" s="9" t="s">
        <v>455</v>
      </c>
      <c r="D29" s="9" t="s">
        <v>440</v>
      </c>
      <c r="E29" s="11">
        <v>15863</v>
      </c>
      <c r="F29" s="11">
        <v>117.13</v>
      </c>
      <c r="G29" s="18">
        <v>2.1400000000000002E-2</v>
      </c>
      <c r="I29" s="20"/>
    </row>
    <row r="30" spans="2:9" ht="16.5" x14ac:dyDescent="0.35">
      <c r="B30" s="9" t="s">
        <v>456</v>
      </c>
      <c r="C30" s="9" t="s">
        <v>457</v>
      </c>
      <c r="D30" s="9" t="s">
        <v>206</v>
      </c>
      <c r="E30" s="11">
        <v>26050</v>
      </c>
      <c r="F30" s="11">
        <v>111.55</v>
      </c>
      <c r="G30" s="18">
        <v>2.0400000000000001E-2</v>
      </c>
      <c r="I30" s="20"/>
    </row>
    <row r="31" spans="2:9" ht="16.5" x14ac:dyDescent="0.35">
      <c r="B31" s="9" t="s">
        <v>458</v>
      </c>
      <c r="C31" s="9" t="s">
        <v>459</v>
      </c>
      <c r="D31" s="9" t="s">
        <v>428</v>
      </c>
      <c r="E31" s="11">
        <v>32594</v>
      </c>
      <c r="F31" s="11">
        <v>110.41</v>
      </c>
      <c r="G31" s="18">
        <v>2.0199999999999999E-2</v>
      </c>
      <c r="I31" s="20"/>
    </row>
    <row r="32" spans="2:9" ht="16.5" x14ac:dyDescent="0.35">
      <c r="B32" s="9" t="s">
        <v>460</v>
      </c>
      <c r="C32" s="9" t="s">
        <v>461</v>
      </c>
      <c r="D32" s="9" t="s">
        <v>294</v>
      </c>
      <c r="E32" s="11">
        <v>34115</v>
      </c>
      <c r="F32" s="11">
        <v>109.63</v>
      </c>
      <c r="G32" s="18">
        <v>0.02</v>
      </c>
      <c r="I32" s="20"/>
    </row>
    <row r="33" spans="2:9" ht="16.5" x14ac:dyDescent="0.35">
      <c r="B33" s="9" t="s">
        <v>462</v>
      </c>
      <c r="C33" s="9" t="s">
        <v>463</v>
      </c>
      <c r="D33" s="9" t="s">
        <v>230</v>
      </c>
      <c r="E33" s="11">
        <v>12585</v>
      </c>
      <c r="F33" s="11">
        <v>101.6</v>
      </c>
      <c r="G33" s="18">
        <v>1.8600000000000002E-2</v>
      </c>
      <c r="I33" s="20"/>
    </row>
    <row r="34" spans="2:9" ht="16.5" x14ac:dyDescent="0.35">
      <c r="B34" s="9" t="s">
        <v>464</v>
      </c>
      <c r="C34" s="9" t="s">
        <v>465</v>
      </c>
      <c r="D34" s="9" t="s">
        <v>294</v>
      </c>
      <c r="E34" s="11">
        <v>20176</v>
      </c>
      <c r="F34" s="11">
        <v>96.42</v>
      </c>
      <c r="G34" s="18">
        <v>1.7600000000000001E-2</v>
      </c>
      <c r="I34" s="20"/>
    </row>
    <row r="35" spans="2:9" ht="16.5" x14ac:dyDescent="0.35">
      <c r="B35" s="9" t="s">
        <v>466</v>
      </c>
      <c r="C35" s="9" t="s">
        <v>467</v>
      </c>
      <c r="D35" s="9" t="s">
        <v>240</v>
      </c>
      <c r="E35" s="11">
        <v>15023</v>
      </c>
      <c r="F35" s="11">
        <v>91.29</v>
      </c>
      <c r="G35" s="18">
        <v>1.67E-2</v>
      </c>
      <c r="I35" s="20"/>
    </row>
    <row r="36" spans="2:9" ht="16.5" x14ac:dyDescent="0.35">
      <c r="B36" s="9" t="s">
        <v>468</v>
      </c>
      <c r="C36" s="9" t="s">
        <v>469</v>
      </c>
      <c r="D36" s="9" t="s">
        <v>299</v>
      </c>
      <c r="E36" s="11">
        <v>53126</v>
      </c>
      <c r="F36" s="11">
        <v>90.53</v>
      </c>
      <c r="G36" s="18">
        <v>1.6500000000000001E-2</v>
      </c>
      <c r="I36" s="20"/>
    </row>
    <row r="37" spans="2:9" ht="16.5" x14ac:dyDescent="0.35">
      <c r="B37" s="9" t="s">
        <v>470</v>
      </c>
      <c r="C37" s="9" t="s">
        <v>471</v>
      </c>
      <c r="D37" s="9" t="s">
        <v>193</v>
      </c>
      <c r="E37" s="11">
        <v>20708</v>
      </c>
      <c r="F37" s="11">
        <v>70.5</v>
      </c>
      <c r="G37" s="18">
        <v>1.29E-2</v>
      </c>
      <c r="I37" s="20"/>
    </row>
    <row r="38" spans="2:9" ht="16.5" x14ac:dyDescent="0.35">
      <c r="B38" s="9" t="s">
        <v>472</v>
      </c>
      <c r="C38" s="9" t="s">
        <v>473</v>
      </c>
      <c r="D38" s="9" t="s">
        <v>214</v>
      </c>
      <c r="E38" s="11">
        <v>155081</v>
      </c>
      <c r="F38" s="11">
        <v>62.5</v>
      </c>
      <c r="G38" s="18">
        <v>1.1399999999999999E-2</v>
      </c>
      <c r="I38" s="20"/>
    </row>
    <row r="39" spans="2:9" ht="16.5" x14ac:dyDescent="0.35">
      <c r="B39" s="9" t="s">
        <v>474</v>
      </c>
      <c r="C39" s="9" t="s">
        <v>475</v>
      </c>
      <c r="D39" s="9" t="s">
        <v>214</v>
      </c>
      <c r="E39" s="11">
        <v>3198</v>
      </c>
      <c r="F39" s="11">
        <v>53.72</v>
      </c>
      <c r="G39" s="18">
        <v>9.7999999999999997E-3</v>
      </c>
      <c r="I39" s="20"/>
    </row>
    <row r="40" spans="2:9" ht="16.5" x14ac:dyDescent="0.35">
      <c r="B40" s="9" t="s">
        <v>0</v>
      </c>
      <c r="C40" s="9" t="s">
        <v>90</v>
      </c>
      <c r="D40" s="9" t="s">
        <v>0</v>
      </c>
      <c r="E40" s="10"/>
      <c r="F40" s="11">
        <f>SUM(F6:F39)</f>
        <v>4888.29</v>
      </c>
      <c r="G40" s="18">
        <f>SUM(G6:G39)</f>
        <v>0.89259999999999995</v>
      </c>
      <c r="I40" s="20"/>
    </row>
    <row r="41" spans="2:9" ht="16.5" x14ac:dyDescent="0.35">
      <c r="B41" s="9" t="s">
        <v>0</v>
      </c>
      <c r="C41" s="9" t="s">
        <v>254</v>
      </c>
      <c r="D41" s="9" t="s">
        <v>0</v>
      </c>
      <c r="E41" s="10"/>
      <c r="F41" s="10"/>
      <c r="G41" s="18"/>
      <c r="I41" s="20"/>
    </row>
    <row r="42" spans="2:9" ht="16.5" x14ac:dyDescent="0.35">
      <c r="B42" s="9" t="s">
        <v>5</v>
      </c>
      <c r="C42" s="9" t="s">
        <v>476</v>
      </c>
      <c r="D42" s="9" t="s">
        <v>256</v>
      </c>
      <c r="E42" s="11">
        <v>13350</v>
      </c>
      <c r="F42" s="11">
        <v>54.89</v>
      </c>
      <c r="G42" s="18">
        <v>0.01</v>
      </c>
      <c r="I42" s="20"/>
    </row>
    <row r="43" spans="2:9" ht="16.5" x14ac:dyDescent="0.35">
      <c r="B43" s="9" t="s">
        <v>0</v>
      </c>
      <c r="C43" s="9" t="s">
        <v>90</v>
      </c>
      <c r="D43" s="9" t="s">
        <v>0</v>
      </c>
      <c r="E43" s="10"/>
      <c r="F43" s="11">
        <v>54.89</v>
      </c>
      <c r="G43" s="18">
        <v>0.01</v>
      </c>
      <c r="I43" s="20"/>
    </row>
    <row r="44" spans="2:9" ht="16.5" x14ac:dyDescent="0.35">
      <c r="B44" s="9" t="s">
        <v>0</v>
      </c>
      <c r="C44" s="9" t="s">
        <v>185</v>
      </c>
      <c r="D44" s="9" t="s">
        <v>0</v>
      </c>
      <c r="E44" s="10"/>
      <c r="F44" s="10"/>
      <c r="G44" s="18"/>
      <c r="I44" s="20"/>
    </row>
    <row r="45" spans="2:9" ht="16.5" x14ac:dyDescent="0.35">
      <c r="B45" s="9" t="s">
        <v>154</v>
      </c>
      <c r="C45" s="9" t="s">
        <v>186</v>
      </c>
      <c r="D45" s="10"/>
      <c r="E45" s="9" t="s">
        <v>154</v>
      </c>
      <c r="F45" s="11">
        <v>485.93</v>
      </c>
      <c r="G45" s="18">
        <v>8.8699999999999987E-2</v>
      </c>
      <c r="I45" s="20"/>
    </row>
    <row r="46" spans="2:9" ht="16.5" x14ac:dyDescent="0.35">
      <c r="B46" s="9" t="s">
        <v>0</v>
      </c>
      <c r="C46" s="9" t="s">
        <v>90</v>
      </c>
      <c r="D46" s="9" t="s">
        <v>0</v>
      </c>
      <c r="E46" s="9" t="s">
        <v>154</v>
      </c>
      <c r="F46" s="11">
        <v>485.93</v>
      </c>
      <c r="G46" s="18">
        <v>8.8699999999999987E-2</v>
      </c>
      <c r="I46" s="20"/>
    </row>
    <row r="47" spans="2:9" ht="16.5" x14ac:dyDescent="0.35">
      <c r="B47" s="10"/>
      <c r="C47" s="9" t="s">
        <v>155</v>
      </c>
      <c r="D47" s="10"/>
      <c r="E47" s="10"/>
      <c r="F47" s="9" t="s">
        <v>0</v>
      </c>
      <c r="G47" s="18"/>
      <c r="I47" s="20"/>
    </row>
    <row r="48" spans="2:9" ht="16.5" x14ac:dyDescent="0.35">
      <c r="B48" s="10"/>
      <c r="C48" s="9" t="s">
        <v>156</v>
      </c>
      <c r="D48" s="10"/>
      <c r="E48" s="10"/>
      <c r="F48" s="11">
        <v>48.04</v>
      </c>
      <c r="G48" s="18">
        <v>8.6999999999999994E-3</v>
      </c>
      <c r="I48" s="20"/>
    </row>
    <row r="49" spans="2:9" ht="16.5" x14ac:dyDescent="0.35">
      <c r="B49" s="10"/>
      <c r="C49" s="9" t="s">
        <v>90</v>
      </c>
      <c r="D49" s="10"/>
      <c r="E49" s="10"/>
      <c r="F49" s="11">
        <v>48.04</v>
      </c>
      <c r="G49" s="18">
        <v>8.6999999999999994E-3</v>
      </c>
      <c r="I49" s="20"/>
    </row>
    <row r="50" spans="2:9" ht="16.5" x14ac:dyDescent="0.35">
      <c r="B50" s="10"/>
      <c r="C50" s="9" t="s">
        <v>157</v>
      </c>
      <c r="D50" s="10"/>
      <c r="E50" s="10"/>
      <c r="F50" s="11">
        <v>5477.15</v>
      </c>
      <c r="G50" s="18">
        <v>1</v>
      </c>
      <c r="I50" s="20"/>
    </row>
    <row r="51" spans="2:9" x14ac:dyDescent="0.25">
      <c r="B51" s="10"/>
      <c r="C51" s="10"/>
      <c r="D51" s="10"/>
      <c r="E51" s="10"/>
      <c r="F51" s="10"/>
      <c r="G51" s="10"/>
    </row>
    <row r="52" spans="2:9" x14ac:dyDescent="0.25">
      <c r="F52" s="15"/>
      <c r="G52" s="16"/>
    </row>
    <row r="53" spans="2:9" x14ac:dyDescent="0.25">
      <c r="C53" s="34" t="s">
        <v>522</v>
      </c>
      <c r="D53" s="34"/>
    </row>
    <row r="54" spans="2:9" x14ac:dyDescent="0.25">
      <c r="C54" s="34" t="s">
        <v>523</v>
      </c>
      <c r="D54" s="34"/>
    </row>
    <row r="55" spans="2:9" x14ac:dyDescent="0.25">
      <c r="C55" s="34" t="s">
        <v>524</v>
      </c>
      <c r="D55" s="34"/>
    </row>
    <row r="56" spans="2:9" x14ac:dyDescent="0.25">
      <c r="C56" s="33"/>
      <c r="D56" s="33"/>
    </row>
    <row r="57" spans="2:9" x14ac:dyDescent="0.25">
      <c r="C57" s="34" t="s">
        <v>525</v>
      </c>
      <c r="D57" s="34"/>
    </row>
  </sheetData>
  <mergeCells count="1">
    <mergeCell ref="E2:G2"/>
  </mergeCells>
  <pageMargins left="0.78749999999999998" right="0.78749999999999998" top="1.052778" bottom="1.052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selection activeCell="F57" sqref="F57"/>
    </sheetView>
  </sheetViews>
  <sheetFormatPr defaultRowHeight="15" x14ac:dyDescent="0.25"/>
  <cols>
    <col min="1" max="1" width="1" customWidth="1"/>
    <col min="2" max="2" width="11.42578125" bestFit="1" customWidth="1"/>
    <col min="3" max="3" width="61.7109375" bestFit="1" customWidth="1"/>
    <col min="4" max="4" width="23.28515625" bestFit="1" customWidth="1"/>
    <col min="5" max="5" width="9.5703125" bestFit="1" customWidth="1"/>
    <col min="6" max="6" width="11.5703125" bestFit="1" customWidth="1"/>
    <col min="7" max="7" width="9.140625" bestFit="1" customWidth="1"/>
    <col min="8" max="8" width="10.28515625" bestFit="1" customWidth="1"/>
    <col min="9" max="9" width="12.42578125" bestFit="1" customWidth="1"/>
    <col min="10" max="10" width="10.28515625" bestFit="1" customWidth="1"/>
    <col min="11" max="11" width="12.42578125" bestFit="1" customWidth="1"/>
    <col min="12" max="12" width="10.28515625" bestFit="1" customWidth="1"/>
    <col min="13" max="13" width="12.42578125" bestFit="1" customWidth="1"/>
    <col min="14" max="14" width="10.28515625" bestFit="1" customWidth="1"/>
    <col min="15" max="15" width="12.42578125" bestFit="1" customWidth="1"/>
  </cols>
  <sheetData>
    <row r="1" spans="2:9" ht="16.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9" ht="15.75" x14ac:dyDescent="0.25">
      <c r="B2" s="3"/>
      <c r="C2" s="22" t="s">
        <v>187</v>
      </c>
      <c r="D2" s="3"/>
      <c r="E2" s="37"/>
      <c r="F2" s="37"/>
      <c r="G2" s="37"/>
    </row>
    <row r="3" spans="2:9" ht="16.5" x14ac:dyDescent="0.35">
      <c r="C3" s="2" t="s">
        <v>6</v>
      </c>
    </row>
    <row r="4" spans="2:9" ht="39" x14ac:dyDescent="0.25">
      <c r="B4" s="5" t="s">
        <v>7</v>
      </c>
      <c r="C4" s="6" t="s">
        <v>8</v>
      </c>
      <c r="D4" s="6" t="s">
        <v>9</v>
      </c>
      <c r="E4" s="5" t="s">
        <v>10</v>
      </c>
      <c r="F4" s="7" t="s">
        <v>510</v>
      </c>
      <c r="G4" s="8" t="s">
        <v>11</v>
      </c>
    </row>
    <row r="5" spans="2:9" ht="16.5" x14ac:dyDescent="0.35">
      <c r="B5" s="9" t="s">
        <v>0</v>
      </c>
      <c r="C5" s="9" t="s">
        <v>188</v>
      </c>
      <c r="D5" s="9" t="s">
        <v>0</v>
      </c>
      <c r="E5" s="10"/>
      <c r="F5" s="10"/>
      <c r="G5" s="10"/>
    </row>
    <row r="6" spans="2:9" ht="16.5" x14ac:dyDescent="0.35">
      <c r="B6" s="9" t="s">
        <v>189</v>
      </c>
      <c r="C6" s="9" t="s">
        <v>93</v>
      </c>
      <c r="D6" s="9" t="s">
        <v>190</v>
      </c>
      <c r="E6" s="11">
        <v>165616</v>
      </c>
      <c r="F6" s="11">
        <v>3220.07</v>
      </c>
      <c r="G6" s="19">
        <v>8.1500000000000003E-2</v>
      </c>
      <c r="I6" s="17"/>
    </row>
    <row r="7" spans="2:9" ht="16.5" x14ac:dyDescent="0.35">
      <c r="B7" s="9" t="s">
        <v>191</v>
      </c>
      <c r="C7" s="9" t="s">
        <v>192</v>
      </c>
      <c r="D7" s="9" t="s">
        <v>193</v>
      </c>
      <c r="E7" s="11">
        <v>184606</v>
      </c>
      <c r="F7" s="11">
        <v>2586.15</v>
      </c>
      <c r="G7" s="19">
        <v>6.54E-2</v>
      </c>
      <c r="I7" s="17"/>
    </row>
    <row r="8" spans="2:9" ht="16.5" x14ac:dyDescent="0.35">
      <c r="B8" s="9" t="s">
        <v>194</v>
      </c>
      <c r="C8" s="9" t="s">
        <v>195</v>
      </c>
      <c r="D8" s="9" t="s">
        <v>196</v>
      </c>
      <c r="E8" s="11">
        <v>72850</v>
      </c>
      <c r="F8" s="11">
        <v>2573.13</v>
      </c>
      <c r="G8" s="19">
        <v>6.5099999999999991E-2</v>
      </c>
      <c r="I8" s="17"/>
    </row>
    <row r="9" spans="2:9" ht="16.5" x14ac:dyDescent="0.35">
      <c r="B9" s="9" t="s">
        <v>197</v>
      </c>
      <c r="C9" s="9" t="s">
        <v>54</v>
      </c>
      <c r="D9" s="9" t="s">
        <v>198</v>
      </c>
      <c r="E9" s="11">
        <v>136610</v>
      </c>
      <c r="F9" s="11">
        <v>2572.71</v>
      </c>
      <c r="G9" s="19">
        <v>6.5099999999999991E-2</v>
      </c>
      <c r="I9" s="17"/>
    </row>
    <row r="10" spans="2:9" ht="16.5" x14ac:dyDescent="0.35">
      <c r="B10" s="9" t="s">
        <v>199</v>
      </c>
      <c r="C10" s="9" t="s">
        <v>200</v>
      </c>
      <c r="D10" s="9" t="s">
        <v>201</v>
      </c>
      <c r="E10" s="11">
        <v>294265</v>
      </c>
      <c r="F10" s="11">
        <v>2569.8200000000002</v>
      </c>
      <c r="G10" s="19">
        <v>6.5000000000000002E-2</v>
      </c>
      <c r="I10" s="17"/>
    </row>
    <row r="11" spans="2:9" ht="16.5" x14ac:dyDescent="0.35">
      <c r="B11" s="9" t="s">
        <v>202</v>
      </c>
      <c r="C11" s="9" t="s">
        <v>27</v>
      </c>
      <c r="D11" s="9" t="s">
        <v>203</v>
      </c>
      <c r="E11" s="11">
        <v>264292</v>
      </c>
      <c r="F11" s="11">
        <v>2545.92</v>
      </c>
      <c r="G11" s="19">
        <v>6.4399999999999999E-2</v>
      </c>
      <c r="I11" s="17"/>
    </row>
    <row r="12" spans="2:9" ht="16.5" x14ac:dyDescent="0.35">
      <c r="B12" s="9" t="s">
        <v>204</v>
      </c>
      <c r="C12" s="9" t="s">
        <v>205</v>
      </c>
      <c r="D12" s="9" t="s">
        <v>206</v>
      </c>
      <c r="E12" s="11">
        <v>62685</v>
      </c>
      <c r="F12" s="11">
        <v>2484.4299999999998</v>
      </c>
      <c r="G12" s="19">
        <v>6.2899999999999998E-2</v>
      </c>
      <c r="I12" s="17"/>
    </row>
    <row r="13" spans="2:9" ht="16.5" x14ac:dyDescent="0.35">
      <c r="B13" s="9" t="s">
        <v>207</v>
      </c>
      <c r="C13" s="9" t="s">
        <v>208</v>
      </c>
      <c r="D13" s="9" t="s">
        <v>209</v>
      </c>
      <c r="E13" s="11">
        <v>646033</v>
      </c>
      <c r="F13" s="11">
        <v>1927.76</v>
      </c>
      <c r="G13" s="19">
        <v>4.8799999999999996E-2</v>
      </c>
      <c r="I13" s="17"/>
    </row>
    <row r="14" spans="2:9" ht="16.5" x14ac:dyDescent="0.35">
      <c r="B14" s="9" t="s">
        <v>210</v>
      </c>
      <c r="C14" s="9" t="s">
        <v>175</v>
      </c>
      <c r="D14" s="9" t="s">
        <v>211</v>
      </c>
      <c r="E14" s="11">
        <v>646119</v>
      </c>
      <c r="F14" s="11">
        <v>1465.4</v>
      </c>
      <c r="G14" s="19">
        <v>3.7100000000000001E-2</v>
      </c>
      <c r="I14" s="17"/>
    </row>
    <row r="15" spans="2:9" ht="16.5" x14ac:dyDescent="0.35">
      <c r="B15" s="9" t="s">
        <v>212</v>
      </c>
      <c r="C15" s="9" t="s">
        <v>213</v>
      </c>
      <c r="D15" s="9" t="s">
        <v>214</v>
      </c>
      <c r="E15" s="11">
        <v>26130</v>
      </c>
      <c r="F15" s="11">
        <v>1440.6</v>
      </c>
      <c r="G15" s="19">
        <v>3.6400000000000002E-2</v>
      </c>
      <c r="I15" s="17"/>
    </row>
    <row r="16" spans="2:9" ht="16.5" x14ac:dyDescent="0.35">
      <c r="B16" s="9" t="s">
        <v>215</v>
      </c>
      <c r="C16" s="9" t="s">
        <v>216</v>
      </c>
      <c r="D16" s="9" t="s">
        <v>201</v>
      </c>
      <c r="E16" s="11">
        <v>14282</v>
      </c>
      <c r="F16" s="11">
        <v>1258.95</v>
      </c>
      <c r="G16" s="19">
        <v>3.1899999999999998E-2</v>
      </c>
      <c r="I16" s="17"/>
    </row>
    <row r="17" spans="1:9" ht="16.5" x14ac:dyDescent="0.35">
      <c r="B17" s="9" t="s">
        <v>217</v>
      </c>
      <c r="C17" s="9" t="s">
        <v>218</v>
      </c>
      <c r="D17" s="9" t="s">
        <v>201</v>
      </c>
      <c r="E17" s="11">
        <v>32362</v>
      </c>
      <c r="F17" s="11">
        <v>1207.83</v>
      </c>
      <c r="G17" s="19">
        <v>3.0600000000000002E-2</v>
      </c>
      <c r="I17" s="17"/>
    </row>
    <row r="18" spans="1:9" ht="16.5" x14ac:dyDescent="0.35">
      <c r="B18" s="9" t="s">
        <v>219</v>
      </c>
      <c r="C18" s="9" t="s">
        <v>113</v>
      </c>
      <c r="D18" s="9" t="s">
        <v>190</v>
      </c>
      <c r="E18" s="11">
        <v>89040</v>
      </c>
      <c r="F18" s="11">
        <v>1078.3599999999999</v>
      </c>
      <c r="G18" s="19">
        <v>2.7300000000000001E-2</v>
      </c>
      <c r="I18" s="17"/>
    </row>
    <row r="19" spans="1:9" ht="16.5" x14ac:dyDescent="0.35">
      <c r="B19" s="9" t="s">
        <v>220</v>
      </c>
      <c r="C19" s="9" t="s">
        <v>221</v>
      </c>
      <c r="D19" s="9" t="s">
        <v>211</v>
      </c>
      <c r="E19" s="11">
        <v>324799</v>
      </c>
      <c r="F19" s="11">
        <v>1055.92</v>
      </c>
      <c r="G19" s="19">
        <v>2.6699999999999998E-2</v>
      </c>
      <c r="I19" s="17"/>
    </row>
    <row r="20" spans="1:9" ht="16.5" x14ac:dyDescent="0.35">
      <c r="B20" s="9" t="s">
        <v>222</v>
      </c>
      <c r="C20" s="9" t="s">
        <v>223</v>
      </c>
      <c r="D20" s="9" t="s">
        <v>214</v>
      </c>
      <c r="E20" s="11">
        <v>67735</v>
      </c>
      <c r="F20" s="11">
        <v>1022.05</v>
      </c>
      <c r="G20" s="19">
        <v>2.5899999999999999E-2</v>
      </c>
      <c r="I20" s="17"/>
    </row>
    <row r="21" spans="1:9" ht="16.5" x14ac:dyDescent="0.35">
      <c r="B21" s="9" t="s">
        <v>224</v>
      </c>
      <c r="C21" s="9" t="s">
        <v>225</v>
      </c>
      <c r="D21" s="9" t="s">
        <v>214</v>
      </c>
      <c r="E21" s="11">
        <v>9425</v>
      </c>
      <c r="F21" s="11">
        <v>885.62</v>
      </c>
      <c r="G21" s="19">
        <v>2.2400000000000003E-2</v>
      </c>
      <c r="I21" s="17"/>
    </row>
    <row r="22" spans="1:9" ht="16.5" x14ac:dyDescent="0.35">
      <c r="B22" s="9" t="s">
        <v>226</v>
      </c>
      <c r="C22" s="9" t="s">
        <v>227</v>
      </c>
      <c r="D22" s="9" t="s">
        <v>196</v>
      </c>
      <c r="E22" s="11">
        <v>73400</v>
      </c>
      <c r="F22" s="11">
        <v>772.72</v>
      </c>
      <c r="G22" s="19">
        <v>1.9599999999999999E-2</v>
      </c>
      <c r="I22" s="17"/>
    </row>
    <row r="23" spans="1:9" ht="16.5" x14ac:dyDescent="0.35">
      <c r="B23" s="9" t="s">
        <v>228</v>
      </c>
      <c r="C23" s="9" t="s">
        <v>229</v>
      </c>
      <c r="D23" s="9" t="s">
        <v>230</v>
      </c>
      <c r="E23" s="11">
        <v>526050</v>
      </c>
      <c r="F23" s="11">
        <v>690.18</v>
      </c>
      <c r="G23" s="19">
        <v>1.7500000000000002E-2</v>
      </c>
      <c r="I23" s="17"/>
    </row>
    <row r="24" spans="1:9" ht="16.5" x14ac:dyDescent="0.35">
      <c r="B24" s="9" t="s">
        <v>231</v>
      </c>
      <c r="C24" s="9" t="s">
        <v>232</v>
      </c>
      <c r="D24" s="9" t="s">
        <v>233</v>
      </c>
      <c r="E24" s="11">
        <v>42513</v>
      </c>
      <c r="F24" s="11">
        <v>674.75</v>
      </c>
      <c r="G24" s="19">
        <v>1.7100000000000001E-2</v>
      </c>
      <c r="I24" s="17"/>
    </row>
    <row r="25" spans="1:9" ht="16.5" x14ac:dyDescent="0.35">
      <c r="B25" s="9" t="s">
        <v>234</v>
      </c>
      <c r="C25" s="9" t="s">
        <v>235</v>
      </c>
      <c r="D25" s="9" t="s">
        <v>233</v>
      </c>
      <c r="E25" s="11">
        <v>15153</v>
      </c>
      <c r="F25" s="11">
        <v>622.61</v>
      </c>
      <c r="G25" s="19">
        <v>1.5800000000000002E-2</v>
      </c>
      <c r="I25" s="17"/>
    </row>
    <row r="26" spans="1:9" ht="16.5" x14ac:dyDescent="0.35">
      <c r="B26" s="9" t="s">
        <v>236</v>
      </c>
      <c r="C26" s="9" t="s">
        <v>237</v>
      </c>
      <c r="D26" s="9" t="s">
        <v>193</v>
      </c>
      <c r="E26" s="11">
        <v>457000</v>
      </c>
      <c r="F26" s="11">
        <v>610.32000000000005</v>
      </c>
      <c r="G26" s="19">
        <v>1.54E-2</v>
      </c>
      <c r="I26" s="17"/>
    </row>
    <row r="27" spans="1:9" ht="16.5" x14ac:dyDescent="0.35">
      <c r="B27" s="9" t="s">
        <v>238</v>
      </c>
      <c r="C27" s="9" t="s">
        <v>239</v>
      </c>
      <c r="D27" s="9" t="s">
        <v>240</v>
      </c>
      <c r="E27" s="11">
        <v>182774</v>
      </c>
      <c r="F27" s="11">
        <v>587.34</v>
      </c>
      <c r="G27" s="19">
        <v>1.49E-2</v>
      </c>
      <c r="I27" s="17"/>
    </row>
    <row r="28" spans="1:9" ht="16.5" x14ac:dyDescent="0.35">
      <c r="B28" s="9" t="s">
        <v>241</v>
      </c>
      <c r="C28" s="9" t="s">
        <v>242</v>
      </c>
      <c r="D28" s="9" t="s">
        <v>193</v>
      </c>
      <c r="E28" s="11">
        <v>91000</v>
      </c>
      <c r="F28" s="11">
        <v>584.67999999999995</v>
      </c>
      <c r="G28" s="19">
        <v>1.47E-2</v>
      </c>
      <c r="I28" s="17"/>
    </row>
    <row r="29" spans="1:9" ht="16.5" x14ac:dyDescent="0.35">
      <c r="B29" s="9" t="s">
        <v>243</v>
      </c>
      <c r="C29" s="9" t="s">
        <v>244</v>
      </c>
      <c r="D29" s="9" t="s">
        <v>245</v>
      </c>
      <c r="E29" s="11">
        <v>39022</v>
      </c>
      <c r="F29" s="11">
        <v>581.67999999999995</v>
      </c>
      <c r="G29" s="19">
        <v>1.47E-2</v>
      </c>
      <c r="I29" s="17"/>
    </row>
    <row r="30" spans="1:9" ht="16.5" x14ac:dyDescent="0.35">
      <c r="B30" s="9" t="s">
        <v>246</v>
      </c>
      <c r="C30" s="9" t="s">
        <v>247</v>
      </c>
      <c r="D30" s="9" t="s">
        <v>196</v>
      </c>
      <c r="E30" s="11">
        <v>48150</v>
      </c>
      <c r="F30" s="11">
        <v>522.23</v>
      </c>
      <c r="G30" s="19">
        <v>1.32E-2</v>
      </c>
      <c r="I30" s="17"/>
    </row>
    <row r="31" spans="1:9" ht="16.5" x14ac:dyDescent="0.35">
      <c r="A31" t="str">
        <f>UPPER(C31)</f>
        <v>DIVIS  LABORATORIES LTD</v>
      </c>
      <c r="B31" s="9" t="s">
        <v>248</v>
      </c>
      <c r="C31" s="9" t="s">
        <v>503</v>
      </c>
      <c r="D31" s="9" t="s">
        <v>249</v>
      </c>
      <c r="E31" s="11">
        <v>36443</v>
      </c>
      <c r="F31" s="11">
        <v>436.4</v>
      </c>
      <c r="G31" s="19">
        <v>1.1000000000000001E-2</v>
      </c>
      <c r="I31" s="17"/>
    </row>
    <row r="32" spans="1:9" ht="16.5" x14ac:dyDescent="0.35">
      <c r="B32" s="9" t="s">
        <v>250</v>
      </c>
      <c r="C32" s="9" t="s">
        <v>251</v>
      </c>
      <c r="D32" s="9" t="s">
        <v>214</v>
      </c>
      <c r="E32" s="11">
        <v>82009</v>
      </c>
      <c r="F32" s="11">
        <v>410.82</v>
      </c>
      <c r="G32" s="19">
        <v>1.03E-2</v>
      </c>
      <c r="I32" s="17"/>
    </row>
    <row r="33" spans="2:9" ht="16.5" x14ac:dyDescent="0.35">
      <c r="B33" s="9" t="s">
        <v>252</v>
      </c>
      <c r="C33" s="9" t="s">
        <v>253</v>
      </c>
      <c r="D33" s="9" t="s">
        <v>240</v>
      </c>
      <c r="E33" s="11">
        <v>190032</v>
      </c>
      <c r="F33" s="11">
        <v>199.34</v>
      </c>
      <c r="G33" s="19">
        <v>5.0000000000000001E-3</v>
      </c>
      <c r="I33" s="17"/>
    </row>
    <row r="34" spans="2:9" ht="16.5" x14ac:dyDescent="0.35">
      <c r="B34" s="9" t="s">
        <v>0</v>
      </c>
      <c r="C34" s="9" t="s">
        <v>90</v>
      </c>
      <c r="D34" s="9" t="s">
        <v>0</v>
      </c>
      <c r="E34" s="10"/>
      <c r="F34" s="11">
        <v>36587.79</v>
      </c>
      <c r="G34" s="19">
        <f>SUM(G6:G33)</f>
        <v>0.92569999999999997</v>
      </c>
      <c r="I34" s="17"/>
    </row>
    <row r="35" spans="2:9" ht="16.5" x14ac:dyDescent="0.35">
      <c r="B35" s="9" t="s">
        <v>0</v>
      </c>
      <c r="C35" s="9" t="s">
        <v>254</v>
      </c>
      <c r="D35" s="9" t="s">
        <v>0</v>
      </c>
      <c r="E35" s="10"/>
      <c r="F35" s="10"/>
      <c r="G35" s="19"/>
      <c r="I35" s="17"/>
    </row>
    <row r="36" spans="2:9" ht="16.5" x14ac:dyDescent="0.35">
      <c r="B36" s="9" t="s">
        <v>5</v>
      </c>
      <c r="C36" s="9" t="s">
        <v>255</v>
      </c>
      <c r="D36" s="9" t="s">
        <v>256</v>
      </c>
      <c r="E36" s="11">
        <v>7425</v>
      </c>
      <c r="F36" s="11">
        <v>659.24</v>
      </c>
      <c r="G36" s="19">
        <v>1.67E-2</v>
      </c>
      <c r="I36" s="17"/>
    </row>
    <row r="37" spans="2:9" ht="16.5" x14ac:dyDescent="0.35">
      <c r="B37" s="9" t="s">
        <v>5</v>
      </c>
      <c r="C37" s="9" t="s">
        <v>257</v>
      </c>
      <c r="D37" s="9" t="s">
        <v>256</v>
      </c>
      <c r="E37" s="11">
        <v>104000</v>
      </c>
      <c r="F37" s="11">
        <v>446.84</v>
      </c>
      <c r="G37" s="19">
        <v>1.1299999999999999E-2</v>
      </c>
      <c r="I37" s="17"/>
    </row>
    <row r="38" spans="2:9" ht="16.5" x14ac:dyDescent="0.35">
      <c r="B38" s="9" t="s">
        <v>5</v>
      </c>
      <c r="C38" s="9" t="s">
        <v>258</v>
      </c>
      <c r="D38" s="9" t="s">
        <v>256</v>
      </c>
      <c r="E38" s="11">
        <v>121600</v>
      </c>
      <c r="F38" s="11">
        <v>399.15</v>
      </c>
      <c r="G38" s="19">
        <v>1.01E-2</v>
      </c>
      <c r="I38" s="17"/>
    </row>
    <row r="39" spans="2:9" ht="16.5" x14ac:dyDescent="0.35">
      <c r="B39" s="9" t="s">
        <v>0</v>
      </c>
      <c r="C39" s="9" t="s">
        <v>90</v>
      </c>
      <c r="D39" s="9" t="s">
        <v>0</v>
      </c>
      <c r="E39" s="10"/>
      <c r="F39" s="11">
        <v>1505.23</v>
      </c>
      <c r="G39" s="19">
        <f>SUM(G36:G38)</f>
        <v>3.8099999999999995E-2</v>
      </c>
      <c r="I39" s="17"/>
    </row>
    <row r="40" spans="2:9" ht="16.5" x14ac:dyDescent="0.35">
      <c r="B40" s="9" t="s">
        <v>0</v>
      </c>
      <c r="C40" s="9" t="s">
        <v>185</v>
      </c>
      <c r="D40" s="9" t="s">
        <v>0</v>
      </c>
      <c r="E40" s="10"/>
      <c r="F40" s="10"/>
      <c r="G40" s="19"/>
      <c r="I40" s="17"/>
    </row>
    <row r="41" spans="2:9" ht="16.5" x14ac:dyDescent="0.35">
      <c r="B41" s="9" t="s">
        <v>154</v>
      </c>
      <c r="C41" s="9" t="s">
        <v>186</v>
      </c>
      <c r="D41" s="10"/>
      <c r="E41" s="9" t="s">
        <v>154</v>
      </c>
      <c r="F41" s="11">
        <v>551.22</v>
      </c>
      <c r="G41" s="19">
        <v>1.4E-2</v>
      </c>
      <c r="I41" s="17"/>
    </row>
    <row r="42" spans="2:9" ht="16.5" x14ac:dyDescent="0.35">
      <c r="B42" s="9" t="s">
        <v>0</v>
      </c>
      <c r="C42" s="9" t="s">
        <v>90</v>
      </c>
      <c r="D42" s="9" t="s">
        <v>0</v>
      </c>
      <c r="E42" s="9" t="s">
        <v>154</v>
      </c>
      <c r="F42" s="11">
        <v>551.22</v>
      </c>
      <c r="G42" s="19">
        <v>1.4E-2</v>
      </c>
      <c r="I42" s="17"/>
    </row>
    <row r="43" spans="2:9" ht="16.5" x14ac:dyDescent="0.35">
      <c r="B43" s="10"/>
      <c r="C43" s="9" t="s">
        <v>155</v>
      </c>
      <c r="D43" s="10"/>
      <c r="E43" s="10"/>
      <c r="F43" s="9" t="s">
        <v>0</v>
      </c>
      <c r="G43" s="19"/>
      <c r="I43" s="17"/>
    </row>
    <row r="44" spans="2:9" ht="16.5" x14ac:dyDescent="0.35">
      <c r="B44" s="10"/>
      <c r="C44" s="9" t="s">
        <v>156</v>
      </c>
      <c r="D44" s="10"/>
      <c r="E44" s="10"/>
      <c r="F44" s="11">
        <v>879.17</v>
      </c>
      <c r="G44" s="19">
        <v>2.2200000000000001E-2</v>
      </c>
      <c r="I44" s="17"/>
    </row>
    <row r="45" spans="2:9" ht="16.5" x14ac:dyDescent="0.35">
      <c r="B45" s="10"/>
      <c r="C45" s="9" t="s">
        <v>90</v>
      </c>
      <c r="D45" s="10"/>
      <c r="E45" s="10"/>
      <c r="F45" s="11">
        <v>879.17</v>
      </c>
      <c r="G45" s="19">
        <v>2.2200000000000001E-2</v>
      </c>
      <c r="I45" s="17"/>
    </row>
    <row r="46" spans="2:9" ht="16.5" x14ac:dyDescent="0.35">
      <c r="B46" s="10"/>
      <c r="C46" s="9" t="s">
        <v>157</v>
      </c>
      <c r="D46" s="10"/>
      <c r="E46" s="10"/>
      <c r="F46" s="11">
        <v>39523.410000000003</v>
      </c>
      <c r="G46" s="19">
        <v>1</v>
      </c>
      <c r="I46" s="17"/>
    </row>
    <row r="47" spans="2:9" x14ac:dyDescent="0.25">
      <c r="B47" s="10"/>
      <c r="C47" s="10"/>
      <c r="D47" s="10"/>
      <c r="E47" s="10"/>
      <c r="F47" s="10"/>
      <c r="G47" s="10"/>
      <c r="I47" s="17"/>
    </row>
    <row r="49" spans="3:7" x14ac:dyDescent="0.25">
      <c r="C49" s="35" t="s">
        <v>522</v>
      </c>
      <c r="D49" s="35"/>
      <c r="F49" s="15"/>
      <c r="G49" s="17"/>
    </row>
    <row r="50" spans="3:7" x14ac:dyDescent="0.25">
      <c r="C50" s="35" t="s">
        <v>523</v>
      </c>
      <c r="D50" s="35"/>
    </row>
    <row r="51" spans="3:7" x14ac:dyDescent="0.25">
      <c r="C51" s="35" t="s">
        <v>524</v>
      </c>
      <c r="D51" s="35"/>
    </row>
    <row r="52" spans="3:7" x14ac:dyDescent="0.25">
      <c r="C52" s="34"/>
      <c r="D52" s="34"/>
    </row>
    <row r="53" spans="3:7" x14ac:dyDescent="0.25">
      <c r="C53" s="35" t="s">
        <v>525</v>
      </c>
      <c r="D53" s="35"/>
    </row>
  </sheetData>
  <mergeCells count="1">
    <mergeCell ref="E2:G2"/>
  </mergeCells>
  <pageMargins left="0.78749999999999998" right="0.78749999999999998" top="1.052778" bottom="1.052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8"/>
  <sheetViews>
    <sheetView tabSelected="1" workbookViewId="0">
      <selection activeCell="K17" sqref="K17"/>
    </sheetView>
  </sheetViews>
  <sheetFormatPr defaultRowHeight="15" x14ac:dyDescent="0.25"/>
  <cols>
    <col min="1" max="1" width="1" customWidth="1"/>
    <col min="2" max="2" width="11.42578125" bestFit="1" customWidth="1"/>
    <col min="3" max="3" width="41.85546875" bestFit="1" customWidth="1"/>
    <col min="4" max="4" width="23.28515625" bestFit="1" customWidth="1"/>
    <col min="5" max="5" width="9.5703125" bestFit="1" customWidth="1"/>
    <col min="6" max="6" width="11.5703125" bestFit="1" customWidth="1"/>
    <col min="7" max="7" width="8.85546875" bestFit="1" customWidth="1"/>
    <col min="8" max="8" width="10.28515625" bestFit="1" customWidth="1"/>
    <col min="9" max="9" width="12.42578125" bestFit="1" customWidth="1"/>
    <col min="10" max="10" width="10.28515625" bestFit="1" customWidth="1"/>
    <col min="11" max="11" width="12.42578125" bestFit="1" customWidth="1"/>
    <col min="12" max="12" width="10.28515625" bestFit="1" customWidth="1"/>
    <col min="13" max="13" width="12.42578125" bestFit="1" customWidth="1"/>
    <col min="14" max="14" width="10.28515625" bestFit="1" customWidth="1"/>
    <col min="15" max="15" width="12.42578125" bestFit="1" customWidth="1"/>
  </cols>
  <sheetData>
    <row r="1" spans="2:9" ht="16.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9" ht="15.75" x14ac:dyDescent="0.25">
      <c r="B2" s="3"/>
      <c r="C2" s="22" t="s">
        <v>520</v>
      </c>
      <c r="D2" s="3"/>
      <c r="E2" s="37"/>
      <c r="F2" s="37"/>
      <c r="G2" s="37"/>
    </row>
    <row r="3" spans="2:9" ht="16.5" x14ac:dyDescent="0.35">
      <c r="C3" s="2" t="s">
        <v>6</v>
      </c>
    </row>
    <row r="4" spans="2:9" ht="39" x14ac:dyDescent="0.25">
      <c r="B4" s="5" t="s">
        <v>7</v>
      </c>
      <c r="C4" s="6" t="s">
        <v>8</v>
      </c>
      <c r="D4" s="6" t="s">
        <v>9</v>
      </c>
      <c r="E4" s="5" t="s">
        <v>10</v>
      </c>
      <c r="F4" s="7" t="s">
        <v>510</v>
      </c>
      <c r="G4" s="8" t="s">
        <v>11</v>
      </c>
    </row>
    <row r="5" spans="2:9" ht="16.5" x14ac:dyDescent="0.35">
      <c r="B5" s="9" t="s">
        <v>0</v>
      </c>
      <c r="C5" s="9" t="s">
        <v>188</v>
      </c>
      <c r="D5" s="9" t="s">
        <v>0</v>
      </c>
      <c r="E5" s="10"/>
      <c r="F5" s="10"/>
      <c r="G5" s="10"/>
    </row>
    <row r="6" spans="2:9" ht="16.5" x14ac:dyDescent="0.35">
      <c r="B6" s="9" t="s">
        <v>204</v>
      </c>
      <c r="C6" s="9" t="s">
        <v>205</v>
      </c>
      <c r="D6" s="9" t="s">
        <v>206</v>
      </c>
      <c r="E6" s="11">
        <v>17617</v>
      </c>
      <c r="F6" s="11">
        <v>698.22</v>
      </c>
      <c r="G6" s="18">
        <v>9.4E-2</v>
      </c>
      <c r="I6" s="16"/>
    </row>
    <row r="7" spans="2:9" ht="16.5" x14ac:dyDescent="0.35">
      <c r="B7" s="9" t="s">
        <v>199</v>
      </c>
      <c r="C7" s="9" t="s">
        <v>200</v>
      </c>
      <c r="D7" s="9" t="s">
        <v>201</v>
      </c>
      <c r="E7" s="11">
        <v>50700</v>
      </c>
      <c r="F7" s="11">
        <v>442.76</v>
      </c>
      <c r="G7" s="18">
        <v>5.96E-2</v>
      </c>
      <c r="I7" s="16"/>
    </row>
    <row r="8" spans="2:9" ht="16.5" x14ac:dyDescent="0.35">
      <c r="B8" s="9" t="s">
        <v>189</v>
      </c>
      <c r="C8" s="9" t="s">
        <v>93</v>
      </c>
      <c r="D8" s="9" t="s">
        <v>190</v>
      </c>
      <c r="E8" s="11">
        <v>21777</v>
      </c>
      <c r="F8" s="11">
        <v>423.41</v>
      </c>
      <c r="G8" s="18">
        <v>5.7000000000000002E-2</v>
      </c>
      <c r="I8" s="16"/>
    </row>
    <row r="9" spans="2:9" ht="16.5" x14ac:dyDescent="0.35">
      <c r="B9" s="9" t="s">
        <v>202</v>
      </c>
      <c r="C9" s="9" t="s">
        <v>27</v>
      </c>
      <c r="D9" s="9" t="s">
        <v>203</v>
      </c>
      <c r="E9" s="11">
        <v>38100</v>
      </c>
      <c r="F9" s="11">
        <v>367.02</v>
      </c>
      <c r="G9" s="18">
        <v>4.9400000000000006E-2</v>
      </c>
      <c r="I9" s="16"/>
    </row>
    <row r="10" spans="2:9" ht="16.5" x14ac:dyDescent="0.35">
      <c r="B10" s="9" t="s">
        <v>191</v>
      </c>
      <c r="C10" s="9" t="s">
        <v>192</v>
      </c>
      <c r="D10" s="9" t="s">
        <v>193</v>
      </c>
      <c r="E10" s="11">
        <v>25900</v>
      </c>
      <c r="F10" s="11">
        <v>362.83</v>
      </c>
      <c r="G10" s="18">
        <v>4.8899999999999999E-2</v>
      </c>
      <c r="I10" s="16"/>
    </row>
    <row r="11" spans="2:9" ht="16.5" x14ac:dyDescent="0.35">
      <c r="B11" s="9" t="s">
        <v>215</v>
      </c>
      <c r="C11" s="9" t="s">
        <v>216</v>
      </c>
      <c r="D11" s="9" t="s">
        <v>201</v>
      </c>
      <c r="E11" s="11">
        <v>4000</v>
      </c>
      <c r="F11" s="11">
        <v>352.6</v>
      </c>
      <c r="G11" s="18">
        <v>4.7500000000000001E-2</v>
      </c>
      <c r="I11" s="16"/>
    </row>
    <row r="12" spans="2:9" ht="16.5" x14ac:dyDescent="0.35">
      <c r="B12" s="9" t="s">
        <v>246</v>
      </c>
      <c r="C12" s="9" t="s">
        <v>247</v>
      </c>
      <c r="D12" s="9" t="s">
        <v>196</v>
      </c>
      <c r="E12" s="11">
        <v>26140</v>
      </c>
      <c r="F12" s="11">
        <v>283.51</v>
      </c>
      <c r="G12" s="18">
        <v>3.8199999999999998E-2</v>
      </c>
      <c r="I12" s="16"/>
    </row>
    <row r="13" spans="2:9" ht="16.5" x14ac:dyDescent="0.35">
      <c r="B13" s="9" t="s">
        <v>226</v>
      </c>
      <c r="C13" s="9" t="s">
        <v>227</v>
      </c>
      <c r="D13" s="9" t="s">
        <v>196</v>
      </c>
      <c r="E13" s="11">
        <v>24500</v>
      </c>
      <c r="F13" s="11">
        <v>257.92</v>
      </c>
      <c r="G13" s="18">
        <v>3.4700000000000002E-2</v>
      </c>
      <c r="I13" s="16"/>
    </row>
    <row r="14" spans="2:9" ht="16.5" x14ac:dyDescent="0.35">
      <c r="B14" s="9" t="s">
        <v>387</v>
      </c>
      <c r="C14" s="9" t="s">
        <v>388</v>
      </c>
      <c r="D14" s="9" t="s">
        <v>214</v>
      </c>
      <c r="E14" s="11">
        <v>15600</v>
      </c>
      <c r="F14" s="11">
        <v>253.8</v>
      </c>
      <c r="G14" s="18">
        <v>3.4200000000000001E-2</v>
      </c>
      <c r="I14" s="16"/>
    </row>
    <row r="15" spans="2:9" ht="16.5" x14ac:dyDescent="0.35">
      <c r="B15" s="9" t="s">
        <v>219</v>
      </c>
      <c r="C15" s="9" t="s">
        <v>113</v>
      </c>
      <c r="D15" s="9" t="s">
        <v>190</v>
      </c>
      <c r="E15" s="11">
        <v>20095</v>
      </c>
      <c r="F15" s="11">
        <v>243.37</v>
      </c>
      <c r="G15" s="18">
        <v>3.2799999999999996E-2</v>
      </c>
      <c r="I15" s="16"/>
    </row>
    <row r="16" spans="2:9" ht="16.5" x14ac:dyDescent="0.35">
      <c r="B16" s="9" t="s">
        <v>389</v>
      </c>
      <c r="C16" s="9" t="s">
        <v>502</v>
      </c>
      <c r="D16" s="9" t="s">
        <v>214</v>
      </c>
      <c r="E16" s="11">
        <v>34330</v>
      </c>
      <c r="F16" s="11">
        <v>241.85</v>
      </c>
      <c r="G16" s="18">
        <v>3.2599999999999997E-2</v>
      </c>
      <c r="I16" s="16"/>
    </row>
    <row r="17" spans="2:9" ht="16.5" x14ac:dyDescent="0.35">
      <c r="B17" s="9" t="s">
        <v>224</v>
      </c>
      <c r="C17" s="9" t="s">
        <v>225</v>
      </c>
      <c r="D17" s="9" t="s">
        <v>214</v>
      </c>
      <c r="E17" s="11">
        <v>2549</v>
      </c>
      <c r="F17" s="11">
        <v>239.52</v>
      </c>
      <c r="G17" s="18">
        <v>3.2300000000000002E-2</v>
      </c>
      <c r="I17" s="16"/>
    </row>
    <row r="18" spans="2:9" ht="16.5" x14ac:dyDescent="0.35">
      <c r="B18" s="9" t="s">
        <v>390</v>
      </c>
      <c r="C18" s="9" t="s">
        <v>391</v>
      </c>
      <c r="D18" s="9" t="s">
        <v>230</v>
      </c>
      <c r="E18" s="11">
        <v>123731</v>
      </c>
      <c r="F18" s="11">
        <v>231.25</v>
      </c>
      <c r="G18" s="18">
        <v>3.1099999999999999E-2</v>
      </c>
      <c r="I18" s="16"/>
    </row>
    <row r="19" spans="2:9" ht="16.5" x14ac:dyDescent="0.35">
      <c r="B19" s="9" t="s">
        <v>392</v>
      </c>
      <c r="C19" s="9" t="s">
        <v>393</v>
      </c>
      <c r="D19" s="9" t="s">
        <v>214</v>
      </c>
      <c r="E19" s="11">
        <v>77180</v>
      </c>
      <c r="F19" s="11">
        <v>229.65</v>
      </c>
      <c r="G19" s="18">
        <v>3.0899999999999997E-2</v>
      </c>
      <c r="I19" s="16"/>
    </row>
    <row r="20" spans="2:9" ht="16.5" x14ac:dyDescent="0.35">
      <c r="B20" s="9" t="s">
        <v>295</v>
      </c>
      <c r="C20" s="9" t="s">
        <v>296</v>
      </c>
      <c r="D20" s="9" t="s">
        <v>283</v>
      </c>
      <c r="E20" s="11">
        <v>54050</v>
      </c>
      <c r="F20" s="11">
        <v>228.96</v>
      </c>
      <c r="G20" s="18">
        <v>3.0800000000000001E-2</v>
      </c>
      <c r="I20" s="16"/>
    </row>
    <row r="21" spans="2:9" ht="16.5" x14ac:dyDescent="0.35">
      <c r="B21" s="9" t="s">
        <v>250</v>
      </c>
      <c r="C21" s="9" t="s">
        <v>251</v>
      </c>
      <c r="D21" s="9" t="s">
        <v>214</v>
      </c>
      <c r="E21" s="11">
        <v>44750</v>
      </c>
      <c r="F21" s="11">
        <v>224.18</v>
      </c>
      <c r="G21" s="18">
        <v>3.0200000000000001E-2</v>
      </c>
      <c r="I21" s="16"/>
    </row>
    <row r="22" spans="2:9" ht="16.5" x14ac:dyDescent="0.35">
      <c r="B22" s="9" t="s">
        <v>262</v>
      </c>
      <c r="C22" s="9" t="s">
        <v>66</v>
      </c>
      <c r="D22" s="9" t="s">
        <v>198</v>
      </c>
      <c r="E22" s="11">
        <v>31450</v>
      </c>
      <c r="F22" s="11">
        <v>201.59</v>
      </c>
      <c r="G22" s="18">
        <v>2.7099999999999999E-2</v>
      </c>
      <c r="I22" s="16"/>
    </row>
    <row r="23" spans="2:9" ht="16.5" x14ac:dyDescent="0.35">
      <c r="B23" s="9" t="s">
        <v>241</v>
      </c>
      <c r="C23" s="9" t="s">
        <v>242</v>
      </c>
      <c r="D23" s="9" t="s">
        <v>193</v>
      </c>
      <c r="E23" s="11">
        <v>30490</v>
      </c>
      <c r="F23" s="11">
        <v>195.9</v>
      </c>
      <c r="G23" s="18">
        <v>2.64E-2</v>
      </c>
      <c r="I23" s="16"/>
    </row>
    <row r="24" spans="2:9" ht="16.5" x14ac:dyDescent="0.35">
      <c r="B24" s="9" t="s">
        <v>394</v>
      </c>
      <c r="C24" s="9" t="s">
        <v>395</v>
      </c>
      <c r="D24" s="9" t="s">
        <v>240</v>
      </c>
      <c r="E24" s="11">
        <v>40635</v>
      </c>
      <c r="F24" s="11">
        <v>194.84</v>
      </c>
      <c r="G24" s="18">
        <v>2.6200000000000001E-2</v>
      </c>
      <c r="I24" s="16"/>
    </row>
    <row r="25" spans="2:9" ht="16.5" x14ac:dyDescent="0.35">
      <c r="B25" s="9" t="s">
        <v>252</v>
      </c>
      <c r="C25" s="9" t="s">
        <v>253</v>
      </c>
      <c r="D25" s="9" t="s">
        <v>240</v>
      </c>
      <c r="E25" s="11">
        <v>179630</v>
      </c>
      <c r="F25" s="11">
        <v>188.43</v>
      </c>
      <c r="G25" s="18">
        <v>2.5399999999999999E-2</v>
      </c>
      <c r="I25" s="16"/>
    </row>
    <row r="26" spans="2:9" ht="16.5" x14ac:dyDescent="0.35">
      <c r="B26" s="9" t="s">
        <v>396</v>
      </c>
      <c r="C26" s="9" t="s">
        <v>397</v>
      </c>
      <c r="D26" s="9" t="s">
        <v>398</v>
      </c>
      <c r="E26" s="11">
        <v>55486</v>
      </c>
      <c r="F26" s="11">
        <v>180.86</v>
      </c>
      <c r="G26" s="18">
        <v>2.4399999999999998E-2</v>
      </c>
      <c r="I26" s="16"/>
    </row>
    <row r="27" spans="2:9" ht="16.5" x14ac:dyDescent="0.35">
      <c r="B27" s="9" t="s">
        <v>399</v>
      </c>
      <c r="C27" s="9" t="s">
        <v>400</v>
      </c>
      <c r="D27" s="9" t="s">
        <v>211</v>
      </c>
      <c r="E27" s="11">
        <v>57100</v>
      </c>
      <c r="F27" s="11">
        <v>164.28</v>
      </c>
      <c r="G27" s="18">
        <v>2.2099999999999998E-2</v>
      </c>
      <c r="I27" s="16"/>
    </row>
    <row r="28" spans="2:9" ht="16.5" x14ac:dyDescent="0.35">
      <c r="B28" s="9" t="s">
        <v>243</v>
      </c>
      <c r="C28" s="9" t="s">
        <v>244</v>
      </c>
      <c r="D28" s="9" t="s">
        <v>245</v>
      </c>
      <c r="E28" s="11">
        <v>10750</v>
      </c>
      <c r="F28" s="11">
        <v>160.24</v>
      </c>
      <c r="G28" s="18">
        <v>2.1600000000000001E-2</v>
      </c>
      <c r="I28" s="16"/>
    </row>
    <row r="29" spans="2:9" ht="16.5" x14ac:dyDescent="0.35">
      <c r="B29" s="9" t="s">
        <v>274</v>
      </c>
      <c r="C29" s="9" t="s">
        <v>275</v>
      </c>
      <c r="D29" s="9" t="s">
        <v>276</v>
      </c>
      <c r="E29" s="11">
        <v>18130</v>
      </c>
      <c r="F29" s="11">
        <v>116.62</v>
      </c>
      <c r="G29" s="18">
        <v>1.5700000000000002E-2</v>
      </c>
      <c r="I29" s="16"/>
    </row>
    <row r="30" spans="2:9" ht="16.5" x14ac:dyDescent="0.35">
      <c r="B30" s="9" t="s">
        <v>401</v>
      </c>
      <c r="C30" s="9" t="s">
        <v>402</v>
      </c>
      <c r="D30" s="9" t="s">
        <v>198</v>
      </c>
      <c r="E30" s="11">
        <v>40470</v>
      </c>
      <c r="F30" s="11">
        <v>116.07</v>
      </c>
      <c r="G30" s="18">
        <v>1.5600000000000001E-2</v>
      </c>
      <c r="I30" s="16"/>
    </row>
    <row r="31" spans="2:9" ht="16.5" x14ac:dyDescent="0.35">
      <c r="B31" s="9" t="s">
        <v>403</v>
      </c>
      <c r="C31" s="9" t="s">
        <v>404</v>
      </c>
      <c r="D31" s="9" t="s">
        <v>206</v>
      </c>
      <c r="E31" s="11">
        <v>72195</v>
      </c>
      <c r="F31" s="11">
        <v>112.91</v>
      </c>
      <c r="G31" s="18">
        <v>1.52E-2</v>
      </c>
      <c r="I31" s="16"/>
    </row>
    <row r="32" spans="2:9" ht="16.5" x14ac:dyDescent="0.35">
      <c r="B32" s="9" t="s">
        <v>231</v>
      </c>
      <c r="C32" s="9" t="s">
        <v>232</v>
      </c>
      <c r="D32" s="9" t="s">
        <v>233</v>
      </c>
      <c r="E32" s="11">
        <v>7000</v>
      </c>
      <c r="F32" s="11">
        <v>111.1</v>
      </c>
      <c r="G32" s="18">
        <v>1.4999999999999999E-2</v>
      </c>
      <c r="I32" s="16"/>
    </row>
    <row r="33" spans="2:9" ht="16.5" x14ac:dyDescent="0.35">
      <c r="B33" s="9" t="s">
        <v>405</v>
      </c>
      <c r="C33" s="9" t="s">
        <v>406</v>
      </c>
      <c r="D33" s="9" t="s">
        <v>516</v>
      </c>
      <c r="E33" s="11">
        <v>86900</v>
      </c>
      <c r="F33" s="11">
        <v>60.09</v>
      </c>
      <c r="G33" s="18">
        <v>8.1000000000000013E-3</v>
      </c>
      <c r="I33" s="16"/>
    </row>
    <row r="34" spans="2:9" ht="16.5" x14ac:dyDescent="0.35">
      <c r="B34" s="9"/>
      <c r="C34" s="9" t="s">
        <v>517</v>
      </c>
      <c r="D34" s="9" t="s">
        <v>516</v>
      </c>
      <c r="E34" s="11">
        <v>86900</v>
      </c>
      <c r="F34" s="11">
        <v>44.45</v>
      </c>
      <c r="G34" s="18">
        <v>6.0000000000000001E-3</v>
      </c>
      <c r="I34" s="16"/>
    </row>
    <row r="35" spans="2:9" ht="16.5" x14ac:dyDescent="0.35">
      <c r="B35" s="9" t="s">
        <v>0</v>
      </c>
      <c r="C35" s="9" t="s">
        <v>90</v>
      </c>
      <c r="D35" s="9" t="s">
        <v>0</v>
      </c>
      <c r="E35" s="10"/>
      <c r="F35" s="11">
        <v>6928.23</v>
      </c>
      <c r="G35" s="18">
        <v>0.93299999999999994</v>
      </c>
      <c r="I35" s="16"/>
    </row>
    <row r="36" spans="2:9" ht="16.5" x14ac:dyDescent="0.35">
      <c r="B36" s="9" t="s">
        <v>0</v>
      </c>
      <c r="C36" s="9" t="s">
        <v>185</v>
      </c>
      <c r="D36" s="9" t="s">
        <v>0</v>
      </c>
      <c r="E36" s="10"/>
      <c r="F36" s="10"/>
      <c r="G36" s="18"/>
      <c r="I36" s="16"/>
    </row>
    <row r="37" spans="2:9" ht="16.5" x14ac:dyDescent="0.35">
      <c r="B37" s="9" t="s">
        <v>154</v>
      </c>
      <c r="C37" s="9" t="s">
        <v>186</v>
      </c>
      <c r="D37" s="10"/>
      <c r="E37" s="9" t="s">
        <v>154</v>
      </c>
      <c r="F37" s="11">
        <v>687.6</v>
      </c>
      <c r="G37" s="18">
        <v>9.2600000000000002E-2</v>
      </c>
      <c r="I37" s="16"/>
    </row>
    <row r="38" spans="2:9" ht="16.5" x14ac:dyDescent="0.35">
      <c r="B38" s="9" t="s">
        <v>0</v>
      </c>
      <c r="C38" s="9" t="s">
        <v>90</v>
      </c>
      <c r="D38" s="9" t="s">
        <v>0</v>
      </c>
      <c r="E38" s="9" t="s">
        <v>154</v>
      </c>
      <c r="F38" s="11">
        <v>687.6</v>
      </c>
      <c r="G38" s="18">
        <v>9.2600000000000002E-2</v>
      </c>
      <c r="I38" s="16"/>
    </row>
    <row r="39" spans="2:9" ht="16.5" x14ac:dyDescent="0.35">
      <c r="B39" s="10"/>
      <c r="C39" s="9" t="s">
        <v>155</v>
      </c>
      <c r="D39" s="10"/>
      <c r="E39" s="10"/>
      <c r="F39" s="9" t="s">
        <v>0</v>
      </c>
      <c r="G39" s="18"/>
      <c r="I39" s="16"/>
    </row>
    <row r="40" spans="2:9" ht="16.5" x14ac:dyDescent="0.35">
      <c r="B40" s="10"/>
      <c r="C40" s="9" t="s">
        <v>156</v>
      </c>
      <c r="D40" s="10"/>
      <c r="E40" s="10"/>
      <c r="F40" s="11">
        <v>-189.69</v>
      </c>
      <c r="G40" s="18">
        <v>-2.5600000000000001E-2</v>
      </c>
      <c r="I40" s="16"/>
    </row>
    <row r="41" spans="2:9" ht="16.5" x14ac:dyDescent="0.35">
      <c r="B41" s="10"/>
      <c r="C41" s="9" t="s">
        <v>90</v>
      </c>
      <c r="D41" s="10"/>
      <c r="E41" s="10"/>
      <c r="F41" s="11">
        <v>-189.69</v>
      </c>
      <c r="G41" s="18">
        <v>-2.5600000000000001E-2</v>
      </c>
      <c r="I41" s="16"/>
    </row>
    <row r="42" spans="2:9" ht="16.5" x14ac:dyDescent="0.35">
      <c r="B42" s="10"/>
      <c r="C42" s="9" t="s">
        <v>157</v>
      </c>
      <c r="D42" s="10"/>
      <c r="E42" s="10"/>
      <c r="F42" s="11">
        <v>7426.14</v>
      </c>
      <c r="G42" s="18">
        <v>1</v>
      </c>
      <c r="I42" s="16"/>
    </row>
    <row r="44" spans="2:9" x14ac:dyDescent="0.25">
      <c r="C44" s="36" t="s">
        <v>522</v>
      </c>
      <c r="D44" s="36"/>
      <c r="E44" s="36"/>
      <c r="F44" s="15"/>
      <c r="G44" s="16"/>
    </row>
    <row r="45" spans="2:9" x14ac:dyDescent="0.25">
      <c r="C45" s="36" t="s">
        <v>523</v>
      </c>
      <c r="D45" s="36"/>
      <c r="E45" s="36"/>
      <c r="G45" s="15"/>
    </row>
    <row r="46" spans="2:9" x14ac:dyDescent="0.25">
      <c r="C46" s="36" t="s">
        <v>524</v>
      </c>
      <c r="D46" s="36"/>
      <c r="E46" s="36"/>
      <c r="G46" s="15"/>
    </row>
    <row r="47" spans="2:9" x14ac:dyDescent="0.25">
      <c r="C47" s="35"/>
      <c r="D47" s="35"/>
      <c r="E47" s="35"/>
    </row>
    <row r="48" spans="2:9" x14ac:dyDescent="0.25">
      <c r="C48" s="36" t="s">
        <v>525</v>
      </c>
      <c r="D48" s="35"/>
      <c r="E48" s="35"/>
    </row>
  </sheetData>
  <mergeCells count="1">
    <mergeCell ref="E2:G2"/>
  </mergeCells>
  <pageMargins left="0.78749999999999998" right="0.78749999999999998" top="1.052778" bottom="1.052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Indiabulls liquid fund</vt:lpstr>
      <vt:lpstr>Indiabulls Ultra Short TermFund</vt:lpstr>
      <vt:lpstr>Indiabulls Short Term Fund</vt:lpstr>
      <vt:lpstr>Indiabulls Income Fund</vt:lpstr>
      <vt:lpstr>Indiabulls Savings Income</vt:lpstr>
      <vt:lpstr>Indiabulls FMP  Series V </vt:lpstr>
      <vt:lpstr>Indiabulls Gilt Fund</vt:lpstr>
      <vt:lpstr>Indiabulls Arbitrage Fund</vt:lpstr>
      <vt:lpstr>Indiabulls Value Discovery Fund</vt:lpstr>
      <vt:lpstr>Indiabulls Blue Chip Fund</vt:lpstr>
      <vt:lpstr>Indiabulls Tax Savings Fund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 Narayan Joshi</dc:creator>
  <cp:lastModifiedBy>Bhavini Damniwala</cp:lastModifiedBy>
  <dcterms:created xsi:type="dcterms:W3CDTF">2018-05-02T10:24:06Z</dcterms:created>
  <dcterms:modified xsi:type="dcterms:W3CDTF">2018-05-21T10:49:03Z</dcterms:modified>
</cp:coreProperties>
</file>